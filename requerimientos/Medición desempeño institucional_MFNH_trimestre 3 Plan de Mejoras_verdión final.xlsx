
<file path=[Content_Types].xml><?xml version="1.0" encoding="utf-8"?>
<Types xmlns="http://schemas.openxmlformats.org/package/2006/content-types">
  <Default Extension="bin" ContentType="application/vnd.openxmlformats-officedocument.spreadsheetml.printerSettings"/>
  <Default Extension="jfif" ContentType="image/jpeg"/>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gcommunities-my.sharepoint.com/personal/nixcoy_globalcommunities_org/Documents/Desktop/"/>
    </mc:Choice>
  </mc:AlternateContent>
  <xr:revisionPtr revIDLastSave="123" documentId="13_ncr:1_{5391AE60-D2F1-4BC4-B759-11A2D5BE2F9A}" xr6:coauthVersionLast="47" xr6:coauthVersionMax="47" xr10:uidLastSave="{DD571C4E-39A9-40C3-8257-BD9DA9558DF2}"/>
  <bookViews>
    <workbookView xWindow="-110" yWindow="-110" windowWidth="19420" windowHeight="10300" xr2:uid="{8890E3DF-6EA8-4D82-95AA-B4158AE2EF73}"/>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0" i="1" l="1" a="1"/>
  <c r="L60" i="1" s="1"/>
  <c r="L53" i="1" a="1"/>
  <c r="L53" i="1" s="1"/>
  <c r="L48" i="1" a="1"/>
  <c r="L48" i="1" s="1"/>
  <c r="L43" i="1" a="1"/>
  <c r="L43" i="1"/>
  <c r="L36" i="1"/>
  <c r="L31" i="1"/>
  <c r="L26" i="1" a="1"/>
  <c r="L26" i="1" s="1"/>
  <c r="L21" i="1"/>
  <c r="L15" i="1"/>
  <c r="L62"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<sst xmlns="http://schemas.openxmlformats.org/spreadsheetml/2006/main" count="330" uniqueCount="169">
  <si>
    <t>Aplicación ARC GT-2023    - 08-Aug-Tue</t>
  </si>
  <si>
    <t>DIMENSIÓN</t>
  </si>
  <si>
    <t>RECURSOS</t>
  </si>
  <si>
    <t>PERIODO DE TIEMPO</t>
  </si>
  <si>
    <t>ÁREA O PERSONA ENCARGADA</t>
  </si>
  <si>
    <t>1 T</t>
  </si>
  <si>
    <t>2 T</t>
  </si>
  <si>
    <t>3 T</t>
  </si>
  <si>
    <t>4 T</t>
  </si>
  <si>
    <t>1. Gobierno Interno</t>
  </si>
  <si>
    <t> </t>
  </si>
  <si>
    <t>1.1.</t>
  </si>
  <si>
    <t>Elaborar un plan de fortalecimiento de capacidades para la junta directiva, el personal directo e indirecto de la Mancomunidad.</t>
  </si>
  <si>
    <t>X</t>
  </si>
  <si>
    <t>1.2</t>
  </si>
  <si>
    <t>Contratación  personal especializado en los diferentes ejes estratégicos basados en el organigrama; basado en un plan de prioridades.</t>
  </si>
  <si>
    <t>Humano y Financiero</t>
  </si>
  <si>
    <t>GERENCIA, RRHH  Y JUNTA DIRECTIVA</t>
  </si>
  <si>
    <t>MANCUERNA y GERENCIA</t>
  </si>
  <si>
    <t>2.  Planificación y monitoreo</t>
  </si>
  <si>
    <t>2.1</t>
  </si>
  <si>
    <t>Construcción de un plan estratégico territorial</t>
  </si>
  <si>
    <t>Humano, logisitico y Financiero</t>
  </si>
  <si>
    <t>MANCUERNA</t>
  </si>
  <si>
    <t>2.2</t>
  </si>
  <si>
    <t xml:space="preserve">Construcción del plan operativo anual </t>
  </si>
  <si>
    <t>Humano, Financiero y tecnológico.</t>
  </si>
  <si>
    <t>Gerencia y equipo de apoyo.</t>
  </si>
  <si>
    <t>2.3</t>
  </si>
  <si>
    <t>Creación de una unidad de Monitoreo, Evaluación, Aprendizaje y rendición de cuentas -MEAL-</t>
  </si>
  <si>
    <t>Humano, Financiero, Tecnología</t>
  </si>
  <si>
    <t>2.4</t>
  </si>
  <si>
    <t>Crear un sistema de monitoreo y evaluación</t>
  </si>
  <si>
    <t>Gerencia y Técnico ME, Global Communities.</t>
  </si>
  <si>
    <t>3.  Talento Humano</t>
  </si>
  <si>
    <t>3.1.</t>
  </si>
  <si>
    <t>Construcción y validación del manual de Recursos Humanos (Consultoria) y crear mecanismos de sugerencia/queja tanto a nivel comunitario e institucional.</t>
  </si>
  <si>
    <t>Humano, Financiero</t>
  </si>
  <si>
    <t>Recursos Humanos, Global  y Gerencia.</t>
  </si>
  <si>
    <t>3.2.</t>
  </si>
  <si>
    <t>Recursos Humanos, Gerencia y G.C.</t>
  </si>
  <si>
    <t>3.3.</t>
  </si>
  <si>
    <t>Fortalecimiento a la  unidad de Recursos Humanos específicamente para la Mancomunidad (Recurso de Personal)</t>
  </si>
  <si>
    <t>4.  Relaciones externas y alianzas</t>
  </si>
  <si>
    <t>4.1.</t>
  </si>
  <si>
    <t>Crear un plan de relaciones y alianzas externas que incluya la contratación de un comunicador social.</t>
  </si>
  <si>
    <t>Humano, Financiero y Tecnología</t>
  </si>
  <si>
    <t>Gerencia y equipo de apoyo</t>
  </si>
  <si>
    <t>4.2.</t>
  </si>
  <si>
    <t>Establecer un presupuesto para los medios de publicidad y comunicación (afiches, vallas, mantas y otros).</t>
  </si>
  <si>
    <t>Humanos, Financieros</t>
  </si>
  <si>
    <t>Gerencia, Junta Directiva y equipo de apoyo.</t>
  </si>
  <si>
    <t>4.3.</t>
  </si>
  <si>
    <t>Formulación de planes programáticos institucional de MFN (Crear un plan estratégico de relaciones a nivel municipal y nacional).</t>
  </si>
  <si>
    <t>Humanos y Financiero</t>
  </si>
  <si>
    <t>5. Gestión de Proyectos y Recursos para la Sostenibilidad</t>
  </si>
  <si>
    <t>5.1.</t>
  </si>
  <si>
    <t>Elaborar un mapeo de donantes nacionales e internacionales.</t>
  </si>
  <si>
    <t>Humanos, Financiero</t>
  </si>
  <si>
    <t>5.2.</t>
  </si>
  <si>
    <t>Crear una unidad de gestión y dirección de proyectos.</t>
  </si>
  <si>
    <t>Humanos, financiero</t>
  </si>
  <si>
    <t>Gerencia, RRHH, Junta Directiva y equipo de apoyo/MANCUERNA</t>
  </si>
  <si>
    <t>5.3</t>
  </si>
  <si>
    <t>Elaborar un plan estratégico de gestión de proyectos y recursos para la sostenibilidad.</t>
  </si>
  <si>
    <t>Gerencia y equipo de apoyo/MANCUERNA</t>
  </si>
  <si>
    <t>6. Probidad, transparencia y eficiencia institucional</t>
  </si>
  <si>
    <t>6.1.</t>
  </si>
  <si>
    <t>Estandarizar un formato de reporte financiero, administrativo y operativo para el acceso a la información a la Junta Directiva</t>
  </si>
  <si>
    <t>Humanos, Financieros y Tecnológico</t>
  </si>
  <si>
    <t>Monitoreo IWASH, Personal administrativo y financiero de la Mancomunidad y equipo de apoyo</t>
  </si>
  <si>
    <t>Realizar informe financiero mensual para dar a conocer los movimientos financieros a JD y semestral en Asamblea General. (Extraccion del sistema contable)</t>
  </si>
  <si>
    <t>Elaboración de un plan de actividades de la Junta Directiva</t>
  </si>
  <si>
    <t>Humanos y Financieros</t>
  </si>
  <si>
    <t>Gerencia, Junta Directiva y equipo de apoyo</t>
  </si>
  <si>
    <t>Actualización periódica de las políticas y/o manuales financieros y administrativos.</t>
  </si>
  <si>
    <t>Humanos, Financieros.</t>
  </si>
  <si>
    <t>Elaborar manual de finanzas y contabilidad (Condición especial)</t>
  </si>
  <si>
    <t>Mancuerna</t>
  </si>
  <si>
    <t>7. Seguridad del Personal, la Comunicación y los Bienes</t>
  </si>
  <si>
    <t>7.1.</t>
  </si>
  <si>
    <t>Elaboración de una política de seguridad ocupacional y del personal; y una política de protección de información y confidencialidad.</t>
  </si>
  <si>
    <r>
      <rPr>
        <b/>
        <i/>
        <sz val="11"/>
        <color rgb="FF000000"/>
        <rFont val="Gill Sans MT"/>
        <family val="2"/>
      </rPr>
      <t>MANCUERNA</t>
    </r>
    <r>
      <rPr>
        <i/>
        <sz val="11"/>
        <color rgb="FF000000"/>
        <rFont val="Gill Sans MT"/>
        <family val="2"/>
      </rPr>
      <t>, Global Communites, Gerencia, personal administrativo, financiero  y equipo técnico.</t>
    </r>
  </si>
  <si>
    <t>7.2.</t>
  </si>
  <si>
    <t>Diseñar un protocolo de seguridad y de manejo de información para miembros de la Mancomunidad</t>
  </si>
  <si>
    <t>Mancuerna, Global Communities, Gerencia, personal administrativo, financiero  y equipo técnico.</t>
  </si>
  <si>
    <t>7.3.</t>
  </si>
  <si>
    <t>Elaboración de un plan de respuesta a riesgos</t>
  </si>
  <si>
    <r>
      <rPr>
        <b/>
        <i/>
        <sz val="11"/>
        <color rgb="FF000000"/>
        <rFont val="Gill Sans MT"/>
        <family val="2"/>
      </rPr>
      <t>MANCUERNA</t>
    </r>
    <r>
      <rPr>
        <i/>
        <sz val="11"/>
        <color rgb="FF000000"/>
        <rFont val="Gill Sans MT"/>
        <family val="2"/>
      </rPr>
      <t>, Global Communities., Gerencia, personal administrativo, financiero  y equipo técnico.</t>
    </r>
  </si>
  <si>
    <t>8. Cultura de Paz y Gestión de Conflictos</t>
  </si>
  <si>
    <t>8.1</t>
  </si>
  <si>
    <t>Elaborar un plan de capacitación para el personal en cultura de paz y gestión de conflictos y poder socializarlo en los municipios.</t>
  </si>
  <si>
    <t xml:space="preserve">Humanos, Financiero y Logistico </t>
  </si>
  <si>
    <t>Recursos Humanos, Gerencia y equipo técnico</t>
  </si>
  <si>
    <t>8.2</t>
  </si>
  <si>
    <t xml:space="preserve">Crear alianzas con instituciones para implementar el plan de capacitación al personal sobre cultura de paz y gestion de conflictos </t>
  </si>
  <si>
    <t>8.3</t>
  </si>
  <si>
    <t xml:space="preserve">Crear un plan de comunicación y linea de cero tolerancia </t>
  </si>
  <si>
    <t xml:space="preserve">O9. Prestación de servicios de Agua, saneamiento, higiene y Gestión integrada de Recursos Hídricos, generación continua y disponibilidad de datos. </t>
  </si>
  <si>
    <t>9.1.</t>
  </si>
  <si>
    <t>Construir un plan  estratégico ambiental, basado en los estatutos de la Mancomunidad</t>
  </si>
  <si>
    <t>Coordinador GIR/WASH,, equipo técnico y Global Communities.</t>
  </si>
  <si>
    <t>9.2.</t>
  </si>
  <si>
    <t>Equipar al equipo técnico de la Mancomunidad con insumos y equipo relacionado a ASH y GIRH.</t>
  </si>
  <si>
    <t>Humanos, Financiero, Equipamiento</t>
  </si>
  <si>
    <t>Gerencia, personal administrativo, financiero y equipo de apoyo</t>
  </si>
  <si>
    <t>9.3.</t>
  </si>
  <si>
    <t>Creación de mapeo, caracterización de Cuencas, subcuencas y microcuencas de área de cobertura,</t>
  </si>
  <si>
    <t>Humanos, Financieros y Técnólogico</t>
  </si>
  <si>
    <t>9.4.</t>
  </si>
  <si>
    <t xml:space="preserve">Construcción de esquema de un plan estratégico de agua y saneamiento e higiene y GIRH. </t>
  </si>
  <si>
    <t>Humanos y equipo tecnológico</t>
  </si>
  <si>
    <t>9.5.</t>
  </si>
  <si>
    <t xml:space="preserve">Elaborar un diagnóstico de los sistemas de agua en las comunidades territorio de la Mancomunidad Frontera del Norte </t>
  </si>
  <si>
    <t>MEJORAS A REALIZAR</t>
  </si>
  <si>
    <t>Criterios para ponderar porcentajes</t>
  </si>
  <si>
    <t>Inicial de 0 - 50%</t>
  </si>
  <si>
    <t>intermedio de 51 - 99%</t>
  </si>
  <si>
    <t>Finalizado: 100%</t>
  </si>
  <si>
    <t>Nivel de avance en %</t>
  </si>
  <si>
    <t>Comentarios</t>
  </si>
  <si>
    <t xml:space="preserve">Inicial </t>
  </si>
  <si>
    <t xml:space="preserve">Intermedio </t>
  </si>
  <si>
    <t>Finalizado</t>
  </si>
  <si>
    <t>% de avance</t>
  </si>
  <si>
    <t>6.2</t>
  </si>
  <si>
    <t>6.3</t>
  </si>
  <si>
    <t>6.4</t>
  </si>
  <si>
    <t>6.5</t>
  </si>
  <si>
    <t>MEDICIÓN DEL DESEMPEÑO INSTITUCIONAL DE MFNH, SEGÚN EL PLAN DE MEJORAS</t>
  </si>
  <si>
    <t xml:space="preserve">Gerencia,  Global Communities, MANCUERNA </t>
  </si>
  <si>
    <t>Formular un Plan estrategico de incidencia con nuevas autoridades</t>
  </si>
  <si>
    <r>
      <rPr>
        <b/>
        <i/>
        <sz val="11"/>
        <rFont val="Gill Sans MT"/>
        <family val="2"/>
      </rPr>
      <t>MANCUERNA</t>
    </r>
    <r>
      <rPr>
        <i/>
        <sz val="11"/>
        <rFont val="Gill Sans MT"/>
        <family val="2"/>
      </rPr>
      <t>, Gerencia, personal administrativo y financiero de la mancomunidad y equipo de apoyo.</t>
    </r>
  </si>
  <si>
    <t>Promedio de avances de ejecución en el trimestre</t>
  </si>
  <si>
    <t>Se ha finalizado el proceso de revisión y ajustes por parte de MFN. Se espera la aprobación final de Junta Directiva. 
Para el segundo trimestre se estará presentando los manuales financieros y administrativos para el personal del proyecto y Mancomunidad.</t>
  </si>
  <si>
    <t>Se ha finalizado el proceso de revisión y ajustes por parte de MFN. Se espera la aprobación final de Junta Directiva.
Ya se cuenta con los documentos, se estará coordinando una reunión ordinaria para su validación en el mes de octubre.</t>
  </si>
  <si>
    <t>Humano, tecnológico y Financiero</t>
  </si>
  <si>
    <t>MANCUERNA, Gerencia y equipo de apoyo.</t>
  </si>
  <si>
    <t>MANCUERNA, UE, Recursos Humanos, Gerencia y Junta Directiva</t>
  </si>
  <si>
    <t>Formular un plan anual de fortalecimiento de capacidades del personal</t>
  </si>
  <si>
    <t>El 04 de diciembre completado</t>
  </si>
  <si>
    <t>Ya se cuenta con un sistema de M&amp;E establecido en la Mancomunifdad y se sigue trabajando para su consolidación</t>
  </si>
  <si>
    <t xml:space="preserve">Ya se finalizó la activiidad </t>
  </si>
  <si>
    <t>Se tomará de base el proyecto IWASH y ya se cuenta con el diagnostico de las 8 comunidades</t>
  </si>
  <si>
    <t>El documento final ya se encuentra en revisión por la especialista de GC. de Gobernanza para el seguimiento. UE estará financiando la portada y el organigrama. Estamos en espera.</t>
  </si>
  <si>
    <t>Ya se cuenta con la unidad de M&amp;E establecida en la Mancomunidad y se sigue trabajando para su consolidación.</t>
  </si>
  <si>
    <t>Se ha finalizado con la elaboración de los informes. No se ha socializado a la JD debido a situaciones adversas a la MFN. 
Mensualmente se entregan los informes financieros (libro bancos, conciliaciones bancarias, cajas fiscales) los que se entregan a secretaria de la Mancomunidad quien coordina la firma de los documentos mencionados.
En el mes de julio se presentó el informe semestral ante JD; se tiene planificado para diciembre presentar el siguiente informe semestral. Para el mes de marzo se estará estableciendo la coordinación para la construcción de esta herramienta.</t>
  </si>
  <si>
    <t>Se está revisando los estatutos para su elaboración.</t>
  </si>
  <si>
    <t>1. Se tenía previsto por parte de Gerencia enviar correo a Gerente de Proyectos de MANCUERNA para que el 5 de febrero nos proporcionaran modelo del plan. 2. El correo por parte de gerencia se envió el 9 de febrero. 3. El 17 de febrero recibimos respuesta por parte de Gerente de Proyectos de MANCUERNA, la respuesta en relación al plan, está actividad se realizará con el apoyo del Gerente de Mancuerna, posterior iban a compartir plan y cronograma. 4. El 19 de abril se estará enviando un correo para dar seguimiento.</t>
  </si>
  <si>
    <r>
      <t xml:space="preserve">1. Se envío correo a Gerente de Proyectos de MANCUERNA el 9 de febrero. 2. El 17 de febrero recibimos respuesta por parte de Gerente de Proyectos de MANCUERNA, la respuesta en relación al POA, está en construcción por parte del Director Administrativo, posterior iban a compartir información. 3. Enviar correo de seguimiento el 19 de abril, por parte de </t>
    </r>
    <r>
      <rPr>
        <b/>
        <sz val="11"/>
        <rFont val="Calibri"/>
        <family val="2"/>
        <scheme val="minor"/>
      </rPr>
      <t>gerencia.</t>
    </r>
  </si>
  <si>
    <t>1. El 31 de enero se envió correo a gerencia solicitando apoyo para que MANCUERNA brinde acompañamiento técnico para fortalecimiento de conocimientos. El 8 de febrero gerencia envió correo a MANCUERNA solicitando este acompañamiento. El 9 de febrero se facilitó documentación que MANCUERNA necesitaba para preparar un plan de fortalecimiento, se envió la información solicitada. El 5,6 y 7 de marzo se recibió la primera capacitación de fortalecimiento de capacidades. El 9,10 y 11 de abril se recibió la segunda capacitación de fortalecimiento de capacidades; en coordinación fecha para la última capacitación.</t>
  </si>
  <si>
    <t>1. Gerencia lo está coordinando con la Lic. Eliza para construcción del plan. 2. Gerencia está dando seguimiento a este indicador.</t>
  </si>
  <si>
    <t>1. Gerente aprobara documento (trifoliar y boletín). 2. Aprobado el PET se dará inició a este indicador en acompañamiento del técnico MELI.</t>
  </si>
  <si>
    <r>
      <t xml:space="preserve">1. Se envió correo a Gerente de Proyectos de MANCUERNA el 9 de febrero, el 17 de febrero recibimos respuesta por parte de Gerente de Proyectos de MANCUERNA, solicitando una explicación, se brindó respuesta y seguimos en espera. 2. Enviar correo para seguimiento el 19 de abril por parte de </t>
    </r>
    <r>
      <rPr>
        <b/>
        <sz val="11"/>
        <color theme="1"/>
        <rFont val="Calibri"/>
        <family val="2"/>
        <scheme val="minor"/>
      </rPr>
      <t>gerencia.</t>
    </r>
  </si>
  <si>
    <t>1. Se envió correo a Gerente de Proyectos de MANCUERNA el 9 de febrero. 2. El 17 de febrero se brindó respuesta indicando que con este proceso se estará iniciando en el mes de abril. Enviar correo de seguimiento el 19 de abril, por parte de gerencia.</t>
  </si>
  <si>
    <r>
      <t xml:space="preserve">La MFN construya una herramienta más sencilla para para dar a conocer o reportar este indicador. A cargo de: </t>
    </r>
    <r>
      <rPr>
        <b/>
        <sz val="11"/>
        <color theme="1"/>
        <rFont val="Calibri"/>
        <family val="2"/>
        <scheme val="minor"/>
      </rPr>
      <t xml:space="preserve">Finanzas y Meli. </t>
    </r>
    <r>
      <rPr>
        <sz val="11"/>
        <color theme="1"/>
        <rFont val="Calibri"/>
        <family val="2"/>
        <scheme val="minor"/>
      </rPr>
      <t>A</t>
    </r>
    <r>
      <rPr>
        <i/>
        <sz val="11"/>
        <color theme="1"/>
        <rFont val="Calibri"/>
        <family val="2"/>
        <scheme val="minor"/>
      </rPr>
      <t xml:space="preserve"> principios de mayo </t>
    </r>
    <r>
      <rPr>
        <sz val="11"/>
        <color theme="1"/>
        <rFont val="Calibri"/>
        <family val="2"/>
        <scheme val="minor"/>
      </rPr>
      <t>se pretende contar con esta herramienta.</t>
    </r>
  </si>
  <si>
    <t>Se envió correo el 9 de febrero a Gerente de Proyectos de MANCUERNA. 2. El 17 de febrero recibimos respuesta, y se estará construyendo el documento en apoyo del Director Administrativo de MANCUERNA. 3. Enviar correo de seguimiento el 19 de abril, por parte de gerencia.</t>
  </si>
  <si>
    <r>
      <t xml:space="preserve">En el mes de abril se realizará la primera reunión de presentación de plan de incidencia ante JD. </t>
    </r>
    <r>
      <rPr>
        <b/>
        <sz val="11"/>
        <color theme="1"/>
        <rFont val="Calibri"/>
        <family val="2"/>
        <scheme val="minor"/>
      </rPr>
      <t>Gerente. Se han hecho acciones de incidencia y se espera contar con el plan en fisico para mayo.</t>
    </r>
  </si>
  <si>
    <t>1.Se ha cotizado e iniciado el proceso de compra de 1 comparimetro digital para el monitoreo de la calidad del agua. Y otras herramientas para construcción de cloradores. Está en proceso de compra demás herramientas.</t>
  </si>
  <si>
    <r>
      <t xml:space="preserve">1. En el mes de febrero se envió correo por gerencia para coordinar con MANCUERNA para su construcción. 2. Actualmente se está trabajando en un plan de desechos sólidos y un plan GIRH. 3. Seguimiento de plan ASH con MANCUERNA. </t>
    </r>
    <r>
      <rPr>
        <b/>
        <i/>
        <sz val="11"/>
        <color theme="1"/>
        <rFont val="Calibri"/>
        <family val="2"/>
        <scheme val="minor"/>
      </rPr>
      <t>(Documento que MANCUERNA LO TIENE EN SU PLAN DE TRABAJO Y DEBE DEJAR ENTREGADO)</t>
    </r>
  </si>
  <si>
    <t>1. Se ha integrado en el organigrama la línea para personal de aseo y mantenimiento, y asistente de gerencia. Se cuenta con el diseño final del organigrama.
2. Realizar un proceso de incidencia ante nueva Junta Directiva para establecer líneas presupuestarias o de negociación para la contratación o el agregado de incentivos al personal del proyecto IWASH (Gerencia, RRHH y JD); pendiente entrega del nombramiento del nuevo representante legal. Reunión de JD en el mes de abril para que el comité de seguimiento presente propuestas que contribuirán al plan de incidencia.</t>
  </si>
  <si>
    <t xml:space="preserve">1. Se realizó el diagnóstico al personal técnico/administrativo para motivo de la propuesta del plan de fortalecimiento. 2. Se elaboró el plan fortalecimiento. 3. Se aprobó el plan de fortalecimiento de capacidades por gerencia. 4. Se ha socializado el plan con el equipo de trabajo. 5. En coordinación la primera capacitación.
</t>
  </si>
  <si>
    <t xml:space="preserve">Se espera respuesta de especialistas: Narciso y Eliza en relación a la herramienta para dar respuesta a este indicador. Del 23 al 26 abril se espera acompañamiento técnico de los especialistas </t>
  </si>
  <si>
    <t>En espera de la entrega de documentos legales (nombramiento de representante legal) para iniciar con el proceso de contratación. Se elaboraran los términos de referencia.</t>
  </si>
  <si>
    <t>1. Se elaboró el plan, fue aprobado / validado por gerencia. 2. Se ha socializado el plan con el equipo de trabajo. 3. En coordinación la primera capacitación.</t>
  </si>
  <si>
    <t>1. Ya se impartió el primer tema al personal mancomunado. 2. Se están haciendo las coordinaciones interinstitucionales.</t>
  </si>
  <si>
    <t xml:space="preserve">Completado, revisar aspecto legal para completar. </t>
  </si>
  <si>
    <t>Ya se finalizó, está inmerso en los manuales administrativos. Y se cuenta con un protocolo de comunicación.</t>
  </si>
  <si>
    <t>TERCER TRIMESTRE:Enero-marzo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</si>
</sst>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8" x14ac:knownFonts="1">
    <font>
      <sz val="11"/>
      <color theme="1"/>
      <name val="Calibri"/>
      <family val="2"/>
      <scheme val="minor"/>
    </font>
    <font>
      <b/>
      <sz val="11"/>
      <color theme="1"/>
      <name val="Calibri"/>
      <family val="2"/>
      <scheme val="minor"/>
    </font>
    <font>
      <b/>
      <i/>
      <sz val="18"/>
      <color rgb="FF000000"/>
      <name val="Arial"/>
      <family val="2"/>
    </font>
    <font>
      <b/>
      <i/>
      <sz val="14"/>
      <color rgb="FF000000"/>
      <name val="Arial"/>
      <family val="2"/>
    </font>
    <font>
      <b/>
      <i/>
      <sz val="11"/>
      <name val="Gill Sans MT"/>
      <family val="2"/>
    </font>
    <font>
      <b/>
      <i/>
      <sz val="11"/>
      <color rgb="FF333399"/>
      <name val="Gill Sans MT"/>
      <family val="2"/>
    </font>
    <font>
      <sz val="11"/>
      <color rgb="FF000000"/>
      <name val="Gill Sans MT"/>
      <family val="2"/>
    </font>
    <font>
      <i/>
      <sz val="11"/>
      <color rgb="FF000000"/>
      <name val="Gill Sans MT"/>
      <family val="2"/>
    </font>
    <font>
      <i/>
      <sz val="11"/>
      <name val="Gill Sans MT"/>
      <family val="2"/>
    </font>
    <font>
      <b/>
      <i/>
      <sz val="11"/>
      <color rgb="FF000000"/>
      <name val="Gill Sans MT"/>
      <family val="2"/>
    </font>
    <font>
      <i/>
      <sz val="10"/>
      <color rgb="FF003366"/>
      <name val="Arial"/>
      <family val="2"/>
    </font>
    <font>
      <sz val="11"/>
      <name val="Calibri"/>
      <family val="2"/>
    </font>
    <font>
      <b/>
      <sz val="14"/>
      <color theme="1"/>
      <name val="Calibri"/>
      <family val="2"/>
      <scheme val="minor"/>
    </font>
    <font>
      <b/>
      <sz val="12"/>
      <color theme="1"/>
      <name val="Calibri"/>
      <family val="2"/>
      <scheme val="minor"/>
    </font>
    <font>
      <b/>
      <sz val="11"/>
      <color theme="1"/>
      <name val="Arial"/>
      <family val="2"/>
    </font>
    <font>
      <b/>
      <i/>
      <sz val="12"/>
      <color rgb="FF002060"/>
      <name val="Arial"/>
      <family val="2"/>
    </font>
    <font>
      <b/>
      <i/>
      <sz val="12"/>
      <color rgb="FF002060"/>
      <name val="Calibri"/>
      <family val="2"/>
      <scheme val="minor"/>
    </font>
    <font>
      <b/>
      <i/>
      <sz val="12"/>
      <color theme="1"/>
      <name val="Arial"/>
      <family val="2"/>
    </font>
    <font>
      <b/>
      <sz val="11"/>
      <color rgb="FF000000"/>
      <name val="Gill Sans MT"/>
      <family val="2"/>
    </font>
    <font>
      <sz val="11"/>
      <color theme="1"/>
      <name val="Calibri"/>
      <family val="2"/>
      <scheme val="minor"/>
    </font>
    <font>
      <sz val="11"/>
      <name val="Calibri"/>
      <family val="2"/>
      <scheme val="minor"/>
    </font>
    <font>
      <sz val="10"/>
      <color theme="1"/>
      <name val="Calibri"/>
      <family val="2"/>
      <scheme val="minor"/>
    </font>
    <font>
      <sz val="10"/>
      <name val="Calibri"/>
      <family val="2"/>
      <scheme val="minor"/>
    </font>
    <font>
      <sz val="10.5"/>
      <name val="Calibri"/>
      <family val="2"/>
      <scheme val="minor"/>
    </font>
    <font>
      <sz val="11"/>
      <color theme="0"/>
      <name val="Calibri"/>
      <family val="2"/>
      <scheme val="minor"/>
    </font>
    <font>
      <b/>
      <sz val="11"/>
      <name val="Calibri"/>
      <family val="2"/>
      <scheme val="minor"/>
    </font>
    <font>
      <i/>
      <sz val="11"/>
      <color theme="1"/>
      <name val="Calibri"/>
      <family val="2"/>
      <scheme val="minor"/>
    </font>
    <font>
      <b/>
      <i/>
      <sz val="11"/>
      <color theme="1"/>
      <name val="Calibri"/>
      <family val="2"/>
      <scheme val="minor"/>
    </font>
  </fonts>
  <fills count="19">
    <fill>
      <patternFill patternType="none"/>
    </fill>
    <fill>
      <patternFill patternType="gray125"/>
    </fill>
    <fill>
      <patternFill patternType="solid">
        <fgColor rgb="FFF2F2F2"/>
        <bgColor rgb="FF000000"/>
      </patternFill>
    </fill>
    <fill>
      <patternFill patternType="solid">
        <fgColor rgb="FFFFFF99"/>
        <bgColor rgb="FF000000"/>
      </patternFill>
    </fill>
    <fill>
      <patternFill patternType="solid">
        <fgColor rgb="FF00B0F0"/>
        <bgColor rgb="FF000000"/>
      </patternFill>
    </fill>
    <fill>
      <patternFill patternType="solid">
        <fgColor rgb="FFD8D8D8"/>
        <bgColor rgb="FF000000"/>
      </patternFill>
    </fill>
    <fill>
      <patternFill patternType="solid">
        <fgColor rgb="FF00B0F0"/>
        <bgColor indexed="64"/>
      </patternFill>
    </fill>
    <fill>
      <patternFill patternType="solid">
        <fgColor rgb="FFD9D9D9"/>
        <bgColor rgb="FF000000"/>
      </patternFill>
    </fill>
    <fill>
      <patternFill patternType="solid">
        <fgColor rgb="FFD8D8D8"/>
        <bgColor rgb="FFD8D8D8"/>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0" tint="-0.14999847407452621"/>
        <bgColor rgb="FF000000"/>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0"/>
        <bgColor indexed="64"/>
      </patternFill>
    </fill>
  </fills>
  <borders count="31">
    <border>
      <left/>
      <right/>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style="thin">
        <color indexed="64"/>
      </top>
      <bottom/>
      <diagonal/>
    </border>
  </borders>
  <cellStyleXfs count="2">
    <xf numFmtId="0" fontId="0" fillId="0" borderId="0"/>
    <xf numFmtId="43" fontId="19" fillId="0" borderId="0" applyFont="0" applyFill="0" applyBorder="0" applyAlignment="0" applyProtection="0"/>
  </cellStyleXfs>
  <cellXfs count="152">
    <xf numFmtId="0" fontId="0" fillId="0" borderId="0" xfId="0"/>
    <xf numFmtId="0" fontId="4" fillId="0" borderId="6" xfId="0" applyFont="1" applyBorder="1"/>
    <xf numFmtId="0" fontId="5" fillId="4" borderId="1" xfId="0" applyFont="1" applyFill="1" applyBorder="1"/>
    <xf numFmtId="0" fontId="5" fillId="4" borderId="0" xfId="0" applyFont="1" applyFill="1"/>
    <xf numFmtId="0" fontId="6" fillId="4" borderId="0" xfId="0" applyFont="1" applyFill="1"/>
    <xf numFmtId="0" fontId="12" fillId="9" borderId="8" xfId="0" applyFont="1" applyFill="1" applyBorder="1"/>
    <xf numFmtId="0" fontId="12" fillId="10" borderId="8" xfId="0" applyFont="1" applyFill="1" applyBorder="1"/>
    <xf numFmtId="0" fontId="12" fillId="11" borderId="8" xfId="0" applyFont="1" applyFill="1" applyBorder="1"/>
    <xf numFmtId="0" fontId="14" fillId="0" borderId="0" xfId="0" applyFont="1"/>
    <xf numFmtId="0" fontId="17" fillId="9" borderId="8" xfId="0" applyFont="1" applyFill="1" applyBorder="1" applyAlignment="1">
      <alignment horizontal="center" vertical="center"/>
    </xf>
    <xf numFmtId="0" fontId="17" fillId="10" borderId="8" xfId="0" applyFont="1" applyFill="1" applyBorder="1" applyAlignment="1">
      <alignment horizontal="center" vertical="center"/>
    </xf>
    <xf numFmtId="0" fontId="17" fillId="11" borderId="8" xfId="0" applyFont="1" applyFill="1" applyBorder="1" applyAlignment="1">
      <alignment horizontal="center" vertical="center"/>
    </xf>
    <xf numFmtId="0" fontId="17" fillId="13" borderId="11" xfId="0" applyFont="1" applyFill="1" applyBorder="1" applyAlignment="1">
      <alignment horizontal="center" vertical="center"/>
    </xf>
    <xf numFmtId="0" fontId="0" fillId="13" borderId="8" xfId="0" applyFill="1" applyBorder="1"/>
    <xf numFmtId="0" fontId="0" fillId="6" borderId="8" xfId="0" applyFill="1" applyBorder="1"/>
    <xf numFmtId="0" fontId="0" fillId="15" borderId="8" xfId="0" applyFill="1" applyBorder="1"/>
    <xf numFmtId="0" fontId="5" fillId="4" borderId="8" xfId="0" applyFont="1" applyFill="1" applyBorder="1"/>
    <xf numFmtId="0" fontId="6" fillId="4" borderId="8" xfId="0" applyFont="1" applyFill="1" applyBorder="1"/>
    <xf numFmtId="0" fontId="0" fillId="0" borderId="9" xfId="0" applyBorder="1"/>
    <xf numFmtId="0" fontId="0" fillId="15" borderId="13" xfId="0" applyFill="1" applyBorder="1"/>
    <xf numFmtId="0" fontId="0" fillId="15" borderId="14" xfId="0" applyFill="1" applyBorder="1"/>
    <xf numFmtId="0" fontId="0" fillId="15" borderId="15" xfId="0" applyFill="1" applyBorder="1"/>
    <xf numFmtId="0" fontId="0" fillId="6" borderId="13" xfId="0" applyFill="1" applyBorder="1"/>
    <xf numFmtId="0" fontId="0" fillId="6" borderId="14" xfId="0" applyFill="1" applyBorder="1"/>
    <xf numFmtId="0" fontId="0" fillId="6" borderId="15" xfId="0" applyFill="1" applyBorder="1"/>
    <xf numFmtId="0" fontId="0" fillId="6" borderId="16" xfId="0" applyFill="1" applyBorder="1"/>
    <xf numFmtId="0" fontId="0" fillId="6" borderId="17" xfId="0" applyFill="1" applyBorder="1"/>
    <xf numFmtId="0" fontId="0" fillId="6" borderId="18" xfId="0" applyFill="1" applyBorder="1"/>
    <xf numFmtId="0" fontId="0" fillId="15" borderId="12" xfId="0" applyFill="1" applyBorder="1"/>
    <xf numFmtId="0" fontId="7" fillId="0" borderId="8" xfId="0" applyFont="1" applyBorder="1" applyAlignment="1">
      <alignment horizontal="center" wrapText="1"/>
    </xf>
    <xf numFmtId="0" fontId="7" fillId="0" borderId="8" xfId="0" quotePrefix="1" applyFont="1" applyBorder="1" applyAlignment="1">
      <alignment wrapText="1"/>
    </xf>
    <xf numFmtId="0" fontId="7" fillId="0" borderId="8" xfId="0" applyFont="1" applyBorder="1" applyAlignment="1">
      <alignment wrapText="1"/>
    </xf>
    <xf numFmtId="0" fontId="9" fillId="0" borderId="8" xfId="0" applyFont="1" applyBorder="1" applyAlignment="1">
      <alignment wrapText="1"/>
    </xf>
    <xf numFmtId="0" fontId="15" fillId="12" borderId="22" xfId="0" applyFont="1" applyFill="1" applyBorder="1" applyAlignment="1">
      <alignment horizontal="center" vertical="center"/>
    </xf>
    <xf numFmtId="0" fontId="6" fillId="0" borderId="8" xfId="0" applyFont="1" applyBorder="1" applyAlignment="1">
      <alignment horizontal="center" vertical="center" wrapText="1"/>
    </xf>
    <xf numFmtId="0" fontId="7" fillId="0" borderId="8" xfId="0" applyFont="1" applyBorder="1" applyAlignment="1">
      <alignment horizontal="center" vertical="center" wrapText="1"/>
    </xf>
    <xf numFmtId="0" fontId="7" fillId="0" borderId="8" xfId="0" applyFont="1" applyBorder="1" applyAlignment="1">
      <alignment vertical="center" wrapText="1"/>
    </xf>
    <xf numFmtId="0" fontId="6" fillId="0" borderId="8" xfId="0" applyFont="1" applyBorder="1" applyAlignment="1">
      <alignment horizontal="center" vertical="center"/>
    </xf>
    <xf numFmtId="0" fontId="9" fillId="0" borderId="8" xfId="0" applyFont="1" applyBorder="1" applyAlignment="1">
      <alignment horizontal="center" vertical="center"/>
    </xf>
    <xf numFmtId="0" fontId="18" fillId="0" borderId="8" xfId="0" applyFont="1" applyBorder="1" applyAlignment="1">
      <alignment horizontal="center" vertical="center"/>
    </xf>
    <xf numFmtId="0" fontId="18" fillId="0" borderId="8" xfId="0" applyFont="1" applyBorder="1" applyAlignment="1">
      <alignment horizontal="center" vertical="center" wrapText="1"/>
    </xf>
    <xf numFmtId="0" fontId="9" fillId="0" borderId="8" xfId="0" applyFont="1" applyBorder="1" applyAlignment="1">
      <alignment horizontal="center" vertical="center" wrapText="1"/>
    </xf>
    <xf numFmtId="0" fontId="18" fillId="0" borderId="8" xfId="0" applyFont="1" applyBorder="1" applyAlignment="1">
      <alignment vertical="center" wrapText="1"/>
    </xf>
    <xf numFmtId="0" fontId="9" fillId="0" borderId="8" xfId="0" applyFont="1" applyBorder="1" applyAlignment="1">
      <alignment vertical="center" wrapText="1"/>
    </xf>
    <xf numFmtId="0" fontId="0" fillId="0" borderId="8" xfId="0" applyBorder="1" applyAlignment="1">
      <alignment horizontal="center" vertical="center"/>
    </xf>
    <xf numFmtId="0" fontId="0" fillId="6" borderId="23" xfId="0" applyFill="1" applyBorder="1"/>
    <xf numFmtId="0" fontId="4" fillId="0" borderId="8" xfId="0" applyFont="1" applyBorder="1" applyAlignment="1">
      <alignment vertical="center" wrapText="1"/>
    </xf>
    <xf numFmtId="0" fontId="7" fillId="0" borderId="8" xfId="0" applyFont="1" applyBorder="1" applyAlignment="1">
      <alignment horizontal="left" vertical="top" wrapText="1"/>
    </xf>
    <xf numFmtId="0" fontId="13" fillId="0" borderId="0" xfId="0" applyFont="1"/>
    <xf numFmtId="0" fontId="0" fillId="15" borderId="26" xfId="0" applyFill="1" applyBorder="1"/>
    <xf numFmtId="0" fontId="0" fillId="0" borderId="8" xfId="0" applyBorder="1" applyAlignment="1">
      <alignment vertical="center" wrapText="1"/>
    </xf>
    <xf numFmtId="0" fontId="0" fillId="0" borderId="8" xfId="0" applyBorder="1" applyAlignment="1">
      <alignment wrapText="1"/>
    </xf>
    <xf numFmtId="0" fontId="0" fillId="0" borderId="11" xfId="0" applyBorder="1" applyAlignment="1">
      <alignment wrapText="1"/>
    </xf>
    <xf numFmtId="0" fontId="0" fillId="0" borderId="9" xfId="0" applyBorder="1" applyAlignment="1">
      <alignment wrapText="1"/>
    </xf>
    <xf numFmtId="0" fontId="1" fillId="0" borderId="11"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horizontal="center"/>
    </xf>
    <xf numFmtId="0" fontId="1" fillId="15" borderId="14" xfId="0" applyFont="1" applyFill="1" applyBorder="1" applyAlignment="1">
      <alignment horizontal="center"/>
    </xf>
    <xf numFmtId="2" fontId="1" fillId="15" borderId="8" xfId="0" applyNumberFormat="1" applyFont="1" applyFill="1" applyBorder="1" applyAlignment="1">
      <alignment horizontal="center"/>
    </xf>
    <xf numFmtId="0" fontId="0" fillId="0" borderId="11" xfId="0" applyBorder="1" applyAlignment="1">
      <alignment horizontal="left" vertical="top" wrapText="1"/>
    </xf>
    <xf numFmtId="0" fontId="1" fillId="0" borderId="9" xfId="0" applyFont="1" applyBorder="1" applyAlignment="1">
      <alignment horizontal="center"/>
    </xf>
    <xf numFmtId="0" fontId="0" fillId="11" borderId="9" xfId="0" applyFill="1" applyBorder="1"/>
    <xf numFmtId="0" fontId="20" fillId="0" borderId="11" xfId="0" applyFont="1" applyBorder="1" applyAlignment="1">
      <alignment vertical="top" wrapText="1"/>
    </xf>
    <xf numFmtId="2" fontId="1" fillId="15" borderId="14" xfId="0" applyNumberFormat="1" applyFont="1" applyFill="1" applyBorder="1" applyAlignment="1">
      <alignment horizontal="center"/>
    </xf>
    <xf numFmtId="0" fontId="1" fillId="15" borderId="15" xfId="0" applyFont="1" applyFill="1" applyBorder="1" applyAlignment="1">
      <alignment horizontal="center"/>
    </xf>
    <xf numFmtId="0" fontId="1" fillId="15" borderId="13" xfId="0" applyFont="1" applyFill="1" applyBorder="1" applyAlignment="1">
      <alignment horizontal="center"/>
    </xf>
    <xf numFmtId="0" fontId="20" fillId="0" borderId="8" xfId="0" applyFont="1" applyBorder="1" applyAlignment="1">
      <alignment wrapText="1"/>
    </xf>
    <xf numFmtId="0" fontId="7" fillId="0" borderId="8" xfId="0" quotePrefix="1" applyFont="1" applyBorder="1" applyAlignment="1">
      <alignment vertical="center" wrapText="1"/>
    </xf>
    <xf numFmtId="0" fontId="22" fillId="0" borderId="8" xfId="0" applyFont="1" applyBorder="1" applyAlignment="1">
      <alignment vertical="center" wrapText="1"/>
    </xf>
    <xf numFmtId="0" fontId="0" fillId="0" borderId="11" xfId="0" applyBorder="1" applyAlignment="1">
      <alignment vertical="top" wrapText="1"/>
    </xf>
    <xf numFmtId="0" fontId="23" fillId="0" borderId="8" xfId="0" applyFont="1" applyBorder="1" applyAlignment="1">
      <alignment wrapText="1"/>
    </xf>
    <xf numFmtId="0" fontId="0" fillId="10" borderId="8" xfId="0" applyFill="1" applyBorder="1" applyAlignment="1">
      <alignment horizontal="center" vertical="center"/>
    </xf>
    <xf numFmtId="0" fontId="1" fillId="18" borderId="8" xfId="0" applyFont="1" applyFill="1" applyBorder="1" applyAlignment="1">
      <alignment horizontal="center" vertical="center"/>
    </xf>
    <xf numFmtId="0" fontId="4" fillId="3" borderId="4" xfId="0" applyFont="1" applyFill="1" applyBorder="1"/>
    <xf numFmtId="0" fontId="4" fillId="3" borderId="5" xfId="0" applyFont="1" applyFill="1" applyBorder="1"/>
    <xf numFmtId="0" fontId="7" fillId="0" borderId="8" xfId="0" applyFont="1" applyBorder="1" applyAlignment="1">
      <alignment horizontal="center" vertical="center"/>
    </xf>
    <xf numFmtId="0" fontId="7" fillId="0" borderId="8" xfId="0" applyFont="1" applyBorder="1" applyAlignment="1">
      <alignment vertical="center"/>
    </xf>
    <xf numFmtId="0" fontId="0" fillId="10" borderId="9" xfId="0" applyFill="1" applyBorder="1" applyAlignment="1">
      <alignment vertical="center"/>
    </xf>
    <xf numFmtId="0" fontId="0" fillId="0" borderId="9" xfId="0" applyBorder="1" applyAlignment="1">
      <alignment vertical="center"/>
    </xf>
    <xf numFmtId="0" fontId="0" fillId="10" borderId="11" xfId="0" applyFill="1" applyBorder="1" applyAlignment="1">
      <alignment vertical="center"/>
    </xf>
    <xf numFmtId="0" fontId="0" fillId="0" borderId="11" xfId="0" applyBorder="1" applyAlignment="1">
      <alignment vertical="center"/>
    </xf>
    <xf numFmtId="0" fontId="7" fillId="0" borderId="8" xfId="0" quotePrefix="1" applyFont="1" applyBorder="1" applyAlignment="1">
      <alignment horizontal="left" vertical="center" wrapText="1"/>
    </xf>
    <xf numFmtId="0" fontId="4" fillId="0" borderId="8" xfId="0" applyFont="1" applyBorder="1" applyAlignment="1">
      <alignment vertical="center"/>
    </xf>
    <xf numFmtId="0" fontId="0" fillId="0" borderId="8" xfId="0" applyBorder="1" applyAlignment="1">
      <alignment vertical="center"/>
    </xf>
    <xf numFmtId="0" fontId="0" fillId="11" borderId="8" xfId="0" applyFill="1" applyBorder="1" applyAlignment="1">
      <alignment vertical="center"/>
    </xf>
    <xf numFmtId="0" fontId="0" fillId="10" borderId="8" xfId="0" applyFill="1" applyBorder="1" applyAlignment="1">
      <alignment vertical="center"/>
    </xf>
    <xf numFmtId="0" fontId="8" fillId="0" borderId="8" xfId="0" applyFont="1" applyBorder="1" applyAlignment="1">
      <alignment vertical="center" wrapText="1"/>
    </xf>
    <xf numFmtId="0" fontId="0" fillId="11" borderId="9" xfId="0" applyFill="1" applyBorder="1" applyAlignment="1">
      <alignment vertical="center"/>
    </xf>
    <xf numFmtId="0" fontId="0" fillId="11" borderId="11" xfId="0" applyFill="1" applyBorder="1" applyAlignment="1">
      <alignment vertical="center"/>
    </xf>
    <xf numFmtId="0" fontId="6" fillId="0" borderId="8" xfId="0" applyFont="1" applyBorder="1" applyAlignment="1">
      <alignment vertical="center" wrapText="1"/>
    </xf>
    <xf numFmtId="0" fontId="0" fillId="0" borderId="21" xfId="0" applyBorder="1" applyAlignment="1">
      <alignment vertical="center"/>
    </xf>
    <xf numFmtId="0" fontId="0" fillId="18" borderId="11" xfId="0" applyFill="1" applyBorder="1" applyAlignment="1">
      <alignment vertical="center"/>
    </xf>
    <xf numFmtId="0" fontId="7" fillId="0" borderId="8" xfId="0" applyFont="1" applyBorder="1" applyAlignment="1">
      <alignment horizontal="left" vertical="center" wrapText="1"/>
    </xf>
    <xf numFmtId="0" fontId="0" fillId="0" borderId="9" xfId="0" applyBorder="1" applyAlignment="1">
      <alignment vertical="center" wrapText="1"/>
    </xf>
    <xf numFmtId="0" fontId="0" fillId="0" borderId="11" xfId="0" applyBorder="1" applyAlignment="1">
      <alignment vertical="center" wrapText="1"/>
    </xf>
    <xf numFmtId="0" fontId="0" fillId="18" borderId="8" xfId="0" applyFill="1" applyBorder="1" applyAlignment="1">
      <alignment vertical="center"/>
    </xf>
    <xf numFmtId="1" fontId="1" fillId="15" borderId="14" xfId="0" applyNumberFormat="1" applyFont="1" applyFill="1" applyBorder="1" applyAlignment="1">
      <alignment horizontal="center"/>
    </xf>
    <xf numFmtId="1" fontId="1" fillId="15" borderId="15" xfId="0" applyNumberFormat="1" applyFont="1" applyFill="1" applyBorder="1" applyAlignment="1">
      <alignment horizontal="center"/>
    </xf>
    <xf numFmtId="43" fontId="14" fillId="0" borderId="0" xfId="1" applyFont="1" applyFill="1"/>
    <xf numFmtId="2" fontId="13" fillId="13" borderId="0" xfId="0" applyNumberFormat="1" applyFont="1" applyFill="1"/>
    <xf numFmtId="0" fontId="2" fillId="0" borderId="27" xfId="0" applyFont="1" applyBorder="1" applyAlignment="1">
      <alignment horizontal="center"/>
    </xf>
    <xf numFmtId="0" fontId="2" fillId="0" borderId="28" xfId="0" applyFont="1" applyBorder="1" applyAlignment="1">
      <alignment horizontal="center"/>
    </xf>
    <xf numFmtId="0" fontId="2" fillId="0" borderId="29" xfId="0" applyFont="1" applyBorder="1" applyAlignment="1">
      <alignment horizontal="center"/>
    </xf>
    <xf numFmtId="0" fontId="3" fillId="2" borderId="11" xfId="0" applyFont="1" applyFill="1" applyBorder="1"/>
    <xf numFmtId="0" fontId="4" fillId="3" borderId="4" xfId="0" applyFont="1" applyFill="1" applyBorder="1"/>
    <xf numFmtId="0" fontId="4" fillId="3" borderId="5" xfId="0" applyFont="1" applyFill="1" applyBorder="1"/>
    <xf numFmtId="0" fontId="4" fillId="3" borderId="4" xfId="0" applyFont="1" applyFill="1" applyBorder="1" applyAlignment="1">
      <alignment wrapText="1"/>
    </xf>
    <xf numFmtId="0" fontId="4" fillId="3" borderId="5" xfId="0" applyFont="1" applyFill="1" applyBorder="1" applyAlignment="1">
      <alignment wrapText="1"/>
    </xf>
    <xf numFmtId="0" fontId="4" fillId="3" borderId="3" xfId="0" applyFont="1" applyFill="1" applyBorder="1"/>
    <xf numFmtId="0" fontId="4" fillId="3" borderId="6" xfId="0" applyFont="1" applyFill="1" applyBorder="1"/>
    <xf numFmtId="0" fontId="4" fillId="3" borderId="30" xfId="0" applyFont="1" applyFill="1" applyBorder="1" applyAlignment="1">
      <alignment wrapText="1"/>
    </xf>
    <xf numFmtId="0" fontId="14" fillId="16" borderId="11" xfId="0" applyFont="1" applyFill="1" applyBorder="1"/>
    <xf numFmtId="0" fontId="6" fillId="5" borderId="2" xfId="0" applyFont="1" applyFill="1" applyBorder="1"/>
    <xf numFmtId="0" fontId="6" fillId="5" borderId="3" xfId="0" applyFont="1" applyFill="1" applyBorder="1"/>
    <xf numFmtId="0" fontId="7" fillId="0" borderId="8" xfId="0" applyFont="1" applyBorder="1" applyAlignment="1">
      <alignment horizontal="center" vertical="center"/>
    </xf>
    <xf numFmtId="0" fontId="7" fillId="0" borderId="8" xfId="0" applyFont="1" applyBorder="1" applyAlignment="1">
      <alignment vertical="center" wrapText="1"/>
    </xf>
    <xf numFmtId="0" fontId="7" fillId="0" borderId="8" xfId="0" applyFont="1" applyBorder="1" applyAlignment="1">
      <alignment vertical="center"/>
    </xf>
    <xf numFmtId="0" fontId="9" fillId="0" borderId="8" xfId="0" applyFont="1" applyBorder="1" applyAlignment="1">
      <alignment horizontal="center" vertical="center"/>
    </xf>
    <xf numFmtId="0" fontId="18" fillId="0" borderId="8" xfId="0" applyFont="1" applyBorder="1" applyAlignment="1">
      <alignment horizontal="center" vertical="center"/>
    </xf>
    <xf numFmtId="0" fontId="0" fillId="10" borderId="9" xfId="0" applyFill="1" applyBorder="1" applyAlignment="1">
      <alignment vertical="center"/>
    </xf>
    <xf numFmtId="0" fontId="0" fillId="10" borderId="11" xfId="0" applyFill="1" applyBorder="1" applyAlignment="1">
      <alignment vertical="center"/>
    </xf>
    <xf numFmtId="0" fontId="0" fillId="0" borderId="9" xfId="0" applyBorder="1" applyAlignment="1">
      <alignment vertical="center"/>
    </xf>
    <xf numFmtId="0" fontId="0" fillId="0" borderId="11" xfId="0" applyBorder="1" applyAlignment="1">
      <alignment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0" fontId="21" fillId="0" borderId="9" xfId="0" applyFont="1" applyBorder="1" applyAlignment="1">
      <alignment wrapText="1"/>
    </xf>
    <xf numFmtId="0" fontId="21" fillId="0" borderId="11" xfId="0" applyFont="1" applyBorder="1" applyAlignment="1">
      <alignment wrapText="1"/>
    </xf>
    <xf numFmtId="0" fontId="1" fillId="0" borderId="0" xfId="0" applyFont="1" applyAlignment="1">
      <alignment wrapText="1"/>
    </xf>
    <xf numFmtId="0" fontId="12" fillId="0" borderId="9" xfId="0" applyFont="1" applyBorder="1" applyAlignment="1">
      <alignment vertical="center" wrapText="1"/>
    </xf>
    <xf numFmtId="0" fontId="12" fillId="0" borderId="10" xfId="0" applyFont="1" applyBorder="1" applyAlignment="1">
      <alignment vertical="center" wrapText="1"/>
    </xf>
    <xf numFmtId="0" fontId="12" fillId="0" borderId="11" xfId="0" applyFont="1" applyBorder="1" applyAlignment="1">
      <alignment vertical="center" wrapText="1"/>
    </xf>
    <xf numFmtId="0" fontId="15" fillId="12" borderId="19" xfId="0" applyFont="1" applyFill="1" applyBorder="1" applyAlignment="1">
      <alignment horizontal="center" vertical="center"/>
    </xf>
    <xf numFmtId="0" fontId="15" fillId="12" borderId="20" xfId="0" applyFont="1" applyFill="1" applyBorder="1" applyAlignment="1">
      <alignment horizontal="center" vertical="center"/>
    </xf>
    <xf numFmtId="0" fontId="15" fillId="12" borderId="21" xfId="0" applyFont="1" applyFill="1" applyBorder="1" applyAlignment="1">
      <alignment horizontal="center" vertical="center"/>
    </xf>
    <xf numFmtId="0" fontId="16" fillId="17" borderId="10" xfId="0" applyFont="1" applyFill="1" applyBorder="1" applyAlignment="1">
      <alignment vertical="center"/>
    </xf>
    <xf numFmtId="0" fontId="16" fillId="17" borderId="11" xfId="0" applyFont="1" applyFill="1" applyBorder="1" applyAlignment="1">
      <alignment vertical="center"/>
    </xf>
    <xf numFmtId="0" fontId="5" fillId="4" borderId="1" xfId="0" applyFont="1" applyFill="1" applyBorder="1" applyAlignment="1">
      <alignment wrapText="1"/>
    </xf>
    <xf numFmtId="0" fontId="10" fillId="8" borderId="2" xfId="0" applyFont="1" applyFill="1" applyBorder="1" applyAlignment="1">
      <alignment horizontal="left" vertical="center"/>
    </xf>
    <xf numFmtId="0" fontId="11" fillId="0" borderId="3" xfId="0" applyFont="1" applyBorder="1"/>
    <xf numFmtId="0" fontId="6" fillId="7" borderId="2" xfId="0" applyFont="1" applyFill="1" applyBorder="1"/>
    <xf numFmtId="0" fontId="6" fillId="7" borderId="3" xfId="0" applyFont="1" applyFill="1" applyBorder="1"/>
    <xf numFmtId="0" fontId="6" fillId="5" borderId="24" xfId="0" applyFont="1" applyFill="1" applyBorder="1"/>
    <xf numFmtId="0" fontId="6" fillId="5" borderId="0" xfId="0" applyFont="1" applyFill="1"/>
    <xf numFmtId="0" fontId="6" fillId="5" borderId="25" xfId="0" applyFont="1" applyFill="1" applyBorder="1"/>
    <xf numFmtId="0" fontId="6" fillId="0" borderId="8" xfId="0" applyFont="1" applyBorder="1" applyAlignment="1">
      <alignment horizontal="center" vertical="center"/>
    </xf>
    <xf numFmtId="0" fontId="4" fillId="0" borderId="8" xfId="0" applyFont="1" applyBorder="1" applyAlignment="1">
      <alignment vertical="center" wrapText="1"/>
    </xf>
    <xf numFmtId="0" fontId="6" fillId="14" borderId="7" xfId="0" applyFont="1" applyFill="1" applyBorder="1"/>
    <xf numFmtId="0" fontId="6" fillId="14" borderId="0" xfId="0" applyFont="1" applyFill="1"/>
    <xf numFmtId="0" fontId="24" fillId="18" borderId="9" xfId="0" applyFont="1" applyFill="1" applyBorder="1" applyAlignment="1">
      <alignment vertical="center"/>
    </xf>
    <xf numFmtId="0" fontId="24" fillId="18" borderId="11" xfId="0" applyFont="1" applyFill="1" applyBorder="1" applyAlignment="1">
      <alignment vertical="center"/>
    </xf>
    <xf numFmtId="0" fontId="7" fillId="0" borderId="8" xfId="0" quotePrefix="1" applyFont="1" applyFill="1" applyBorder="1" applyAlignment="1">
      <alignment vertical="center" wrapText="1"/>
    </xf>
  </cellXfs>
  <cellStyles count="2">
    <cellStyle name="Millares" xfId="1" builtinId="3"/>
    <cellStyle name="Normal" xfId="0" builtinId="0"/>
  </cellStyles>
  <dxfs count="1">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fif"/></Relationships>
</file>

<file path=xl/drawings/drawing1.xml><?xml version="1.0" encoding="utf-8"?>
<xdr:wsDr xmlns:xdr="http://schemas.openxmlformats.org/drawingml/2006/spreadsheetDrawing" xmlns:a="http://schemas.openxmlformats.org/drawingml/2006/main">
  <xdr:twoCellAnchor editAs="oneCell">
    <xdr:from>
      <xdr:col>0</xdr:col>
      <xdr:colOff>354330</xdr:colOff>
      <xdr:row>0</xdr:row>
      <xdr:rowOff>0</xdr:rowOff>
    </xdr:from>
    <xdr:to>
      <xdr:col>1</xdr:col>
      <xdr:colOff>1289050</xdr:colOff>
      <xdr:row>3</xdr:row>
      <xdr:rowOff>82550</xdr:rowOff>
    </xdr:to>
    <xdr:pic>
      <xdr:nvPicPr>
        <xdr:cNvPr id="37" name="Imagen 36">
          <a:extLst>
            <a:ext uri="{FF2B5EF4-FFF2-40B4-BE49-F238E27FC236}">
              <a16:creationId xmlns:a16="http://schemas.microsoft.com/office/drawing/2014/main" id="{8669AFDB-0577-4704-8E99-8A485AEC58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330" y="0"/>
          <a:ext cx="1993053" cy="632883"/>
        </a:xfrm>
        <a:prstGeom prst="rect">
          <a:avLst/>
        </a:prstGeom>
      </xdr:spPr>
    </xdr:pic>
    <xdr:clientData/>
  </xdr:twoCellAnchor>
  <xdr:twoCellAnchor editAs="oneCell">
    <xdr:from>
      <xdr:col>7</xdr:col>
      <xdr:colOff>2139224</xdr:colOff>
      <xdr:row>0</xdr:row>
      <xdr:rowOff>0</xdr:rowOff>
    </xdr:from>
    <xdr:to>
      <xdr:col>10</xdr:col>
      <xdr:colOff>612399</xdr:colOff>
      <xdr:row>3</xdr:row>
      <xdr:rowOff>171278</xdr:rowOff>
    </xdr:to>
    <xdr:pic>
      <xdr:nvPicPr>
        <xdr:cNvPr id="38" name="Gráfico 37">
          <a:extLst>
            <a:ext uri="{FF2B5EF4-FFF2-40B4-BE49-F238E27FC236}">
              <a16:creationId xmlns:a16="http://schemas.microsoft.com/office/drawing/2014/main" id="{20D115B9-C551-4D1C-8A3A-0C7DB6EF0DD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565424" y="0"/>
          <a:ext cx="2291807" cy="723728"/>
        </a:xfrm>
        <a:prstGeom prst="rect">
          <a:avLst/>
        </a:prstGeom>
      </xdr:spPr>
    </xdr:pic>
    <xdr:clientData/>
  </xdr:twoCellAnchor>
  <xdr:twoCellAnchor editAs="oneCell">
    <xdr:from>
      <xdr:col>7</xdr:col>
      <xdr:colOff>0</xdr:colOff>
      <xdr:row>0</xdr:row>
      <xdr:rowOff>0</xdr:rowOff>
    </xdr:from>
    <xdr:to>
      <xdr:col>7</xdr:col>
      <xdr:colOff>1317373</xdr:colOff>
      <xdr:row>3</xdr:row>
      <xdr:rowOff>109855</xdr:rowOff>
    </xdr:to>
    <xdr:pic>
      <xdr:nvPicPr>
        <xdr:cNvPr id="39" name="Imagen 38">
          <a:extLst>
            <a:ext uri="{FF2B5EF4-FFF2-40B4-BE49-F238E27FC236}">
              <a16:creationId xmlns:a16="http://schemas.microsoft.com/office/drawing/2014/main" id="{338BD6EC-822D-4962-836F-2184BF39B025}"/>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9929" b="30705"/>
        <a:stretch/>
      </xdr:blipFill>
      <xdr:spPr>
        <a:xfrm>
          <a:off x="6289311" y="0"/>
          <a:ext cx="1317659" cy="662305"/>
        </a:xfrm>
        <a:prstGeom prst="rect">
          <a:avLst/>
        </a:prstGeom>
      </xdr:spPr>
    </xdr:pic>
    <xdr:clientData/>
  </xdr:twoCellAnchor>
  <xdr:twoCellAnchor editAs="oneCell">
    <xdr:from>
      <xdr:col>2</xdr:col>
      <xdr:colOff>883286</xdr:colOff>
      <xdr:row>0</xdr:row>
      <xdr:rowOff>0</xdr:rowOff>
    </xdr:from>
    <xdr:to>
      <xdr:col>5</xdr:col>
      <xdr:colOff>4959</xdr:colOff>
      <xdr:row>4</xdr:row>
      <xdr:rowOff>68571</xdr:rowOff>
    </xdr:to>
    <xdr:pic>
      <xdr:nvPicPr>
        <xdr:cNvPr id="40" name="Imagen 39" descr="No hay ninguna descripción de la foto disponible.">
          <a:extLst>
            <a:ext uri="{FF2B5EF4-FFF2-40B4-BE49-F238E27FC236}">
              <a16:creationId xmlns:a16="http://schemas.microsoft.com/office/drawing/2014/main" id="{BAF435DD-2255-428C-B81F-6E8CEBD9A81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658236" y="0"/>
          <a:ext cx="862964" cy="8051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E7F43-A7FB-4536-9E61-3B162780D26F}">
  <dimension ref="A5:N65"/>
  <sheetViews>
    <sheetView showGridLines="0" tabSelected="1" view="pageBreakPreview" topLeftCell="A52" zoomScale="90" zoomScaleNormal="70" zoomScaleSheetLayoutView="90" workbookViewId="0">
      <selection activeCell="F13" sqref="F13"/>
    </sheetView>
  </sheetViews>
  <sheetFormatPr baseColWidth="10" defaultRowHeight="14.5" x14ac:dyDescent="0.35"/>
  <cols>
    <col min="1" max="1" width="15.1796875" customWidth="1"/>
    <col min="2" max="2" width="29" customWidth="1"/>
    <col min="3" max="3" width="16.26953125" customWidth="1"/>
    <col min="4" max="4" width="3.81640625" customWidth="1"/>
    <col min="5" max="5" width="4.81640625" customWidth="1"/>
    <col min="6" max="6" width="3.7265625" customWidth="1"/>
    <col min="7" max="7" width="4.1796875" customWidth="1"/>
    <col min="8" max="8" width="27.1796875" customWidth="1"/>
    <col min="10" max="10" width="13.1796875" customWidth="1"/>
    <col min="11" max="11" width="12.1796875" customWidth="1"/>
    <col min="12" max="12" width="15.26953125" customWidth="1"/>
    <col min="13" max="13" width="46.54296875" customWidth="1"/>
  </cols>
  <sheetData>
    <row r="5" spans="1:14" ht="15" thickBot="1" x14ac:dyDescent="0.4"/>
    <row r="6" spans="1:14" ht="53.5" customHeight="1" thickBot="1" x14ac:dyDescent="0.5">
      <c r="A6" s="101" t="s">
        <v>129</v>
      </c>
      <c r="B6" s="102"/>
      <c r="C6" s="102"/>
      <c r="D6" s="102"/>
      <c r="E6" s="102"/>
      <c r="F6" s="102"/>
      <c r="G6" s="102"/>
      <c r="H6" s="102"/>
      <c r="I6" s="102"/>
      <c r="J6" s="102"/>
      <c r="K6" s="102"/>
      <c r="L6" s="102"/>
      <c r="M6" s="103"/>
    </row>
    <row r="7" spans="1:14" ht="17.5" x14ac:dyDescent="0.35">
      <c r="A7" s="104" t="s">
        <v>0</v>
      </c>
      <c r="B7" s="104"/>
      <c r="C7" s="104"/>
      <c r="D7" s="104"/>
      <c r="E7" s="104"/>
      <c r="F7" s="104"/>
      <c r="G7" s="104"/>
      <c r="H7" s="104"/>
      <c r="I7" s="112" t="s">
        <v>168</v>
      </c>
      <c r="J7" s="112"/>
      <c r="K7" s="112"/>
      <c r="L7" s="112"/>
      <c r="M7" s="112"/>
    </row>
    <row r="8" spans="1:14" ht="20.5" customHeight="1" thickBot="1" x14ac:dyDescent="0.55000000000000004">
      <c r="A8" s="105" t="s">
        <v>1</v>
      </c>
      <c r="B8" s="105" t="s">
        <v>114</v>
      </c>
      <c r="C8" s="74"/>
      <c r="D8" s="107" t="s">
        <v>2</v>
      </c>
      <c r="E8" s="109" t="s">
        <v>3</v>
      </c>
      <c r="F8" s="109"/>
      <c r="G8" s="109"/>
      <c r="H8" s="110"/>
      <c r="I8" s="111" t="s">
        <v>4</v>
      </c>
      <c r="J8" s="132" t="s">
        <v>119</v>
      </c>
      <c r="K8" s="133"/>
      <c r="L8" s="134"/>
      <c r="M8" s="33"/>
      <c r="N8" s="135" t="s">
        <v>120</v>
      </c>
    </row>
    <row r="9" spans="1:14" ht="18" customHeight="1" thickBot="1" x14ac:dyDescent="0.55000000000000004">
      <c r="A9" s="106"/>
      <c r="B9" s="106"/>
      <c r="C9" s="75"/>
      <c r="D9" s="108"/>
      <c r="E9" s="1" t="s">
        <v>5</v>
      </c>
      <c r="F9" s="1" t="s">
        <v>6</v>
      </c>
      <c r="G9" s="1" t="s">
        <v>7</v>
      </c>
      <c r="H9" s="1" t="s">
        <v>8</v>
      </c>
      <c r="I9" s="108"/>
      <c r="J9" s="9" t="s">
        <v>121</v>
      </c>
      <c r="K9" s="10" t="s">
        <v>122</v>
      </c>
      <c r="L9" s="11" t="s">
        <v>123</v>
      </c>
      <c r="M9" s="12" t="s">
        <v>124</v>
      </c>
      <c r="N9" s="136"/>
    </row>
    <row r="10" spans="1:14" ht="16.5" x14ac:dyDescent="0.5">
      <c r="A10" s="2" t="s">
        <v>9</v>
      </c>
      <c r="B10" s="3"/>
      <c r="C10" s="3"/>
      <c r="D10" s="4" t="s">
        <v>10</v>
      </c>
      <c r="E10" s="4" t="s">
        <v>10</v>
      </c>
      <c r="F10" s="4" t="s">
        <v>10</v>
      </c>
      <c r="G10" s="4" t="s">
        <v>10</v>
      </c>
      <c r="H10" s="4" t="s">
        <v>10</v>
      </c>
      <c r="I10" s="14"/>
      <c r="J10" s="14"/>
      <c r="K10" s="14"/>
      <c r="L10" s="14"/>
      <c r="M10" s="13"/>
    </row>
    <row r="11" spans="1:14" x14ac:dyDescent="0.35">
      <c r="A11" s="115" t="s">
        <v>11</v>
      </c>
      <c r="B11" s="116" t="s">
        <v>12</v>
      </c>
      <c r="C11" s="117" t="s">
        <v>136</v>
      </c>
      <c r="D11" s="118" t="s">
        <v>10</v>
      </c>
      <c r="E11" s="119" t="s">
        <v>13</v>
      </c>
      <c r="F11" s="119" t="s">
        <v>13</v>
      </c>
      <c r="G11" s="145"/>
      <c r="H11" s="146" t="s">
        <v>130</v>
      </c>
      <c r="I11" s="149"/>
      <c r="J11" s="120"/>
      <c r="K11" s="122"/>
      <c r="L11" s="124">
        <v>60</v>
      </c>
      <c r="M11" s="126" t="s">
        <v>148</v>
      </c>
    </row>
    <row r="12" spans="1:14" ht="105.5" customHeight="1" x14ac:dyDescent="0.35">
      <c r="A12" s="115"/>
      <c r="B12" s="116"/>
      <c r="C12" s="117"/>
      <c r="D12" s="118"/>
      <c r="E12" s="119"/>
      <c r="F12" s="119"/>
      <c r="G12" s="145"/>
      <c r="H12" s="146"/>
      <c r="I12" s="150"/>
      <c r="J12" s="121"/>
      <c r="K12" s="123"/>
      <c r="L12" s="125"/>
      <c r="M12" s="127"/>
    </row>
    <row r="13" spans="1:14" ht="127" customHeight="1" x14ac:dyDescent="0.35">
      <c r="A13" s="76" t="s">
        <v>14</v>
      </c>
      <c r="B13" s="82" t="s">
        <v>15</v>
      </c>
      <c r="C13" s="77" t="s">
        <v>16</v>
      </c>
      <c r="D13" s="38" t="s">
        <v>13</v>
      </c>
      <c r="E13" s="39" t="s">
        <v>13</v>
      </c>
      <c r="F13" s="39" t="s">
        <v>13</v>
      </c>
      <c r="G13" s="39" t="s">
        <v>13</v>
      </c>
      <c r="H13" s="46" t="s">
        <v>17</v>
      </c>
      <c r="I13" s="73"/>
      <c r="J13" s="72"/>
      <c r="K13" s="44"/>
      <c r="L13" s="55">
        <v>75</v>
      </c>
      <c r="M13" s="69" t="s">
        <v>160</v>
      </c>
    </row>
    <row r="14" spans="1:14" ht="65" customHeight="1" x14ac:dyDescent="0.35">
      <c r="A14" s="76">
        <v>1.3</v>
      </c>
      <c r="B14" s="68" t="s">
        <v>131</v>
      </c>
      <c r="C14" s="77" t="s">
        <v>16</v>
      </c>
      <c r="D14" s="38" t="s">
        <v>13</v>
      </c>
      <c r="E14" s="39" t="s">
        <v>13</v>
      </c>
      <c r="F14" s="39"/>
      <c r="G14" s="37"/>
      <c r="H14" s="83" t="s">
        <v>18</v>
      </c>
      <c r="I14" s="55"/>
      <c r="J14" s="72"/>
      <c r="K14" s="44"/>
      <c r="L14" s="55">
        <v>55</v>
      </c>
      <c r="M14" s="50" t="s">
        <v>157</v>
      </c>
    </row>
    <row r="15" spans="1:14" ht="16.5" x14ac:dyDescent="0.5">
      <c r="A15" s="147"/>
      <c r="B15" s="148"/>
      <c r="C15" s="148"/>
      <c r="D15" s="148"/>
      <c r="E15" s="148"/>
      <c r="F15" s="148"/>
      <c r="G15" s="148"/>
      <c r="H15" s="148"/>
      <c r="I15" s="15"/>
      <c r="J15" s="15"/>
      <c r="K15" s="15"/>
      <c r="L15" s="59">
        <f>SUM(L11:L14)/3</f>
        <v>63.333333333333336</v>
      </c>
      <c r="M15" s="15"/>
    </row>
    <row r="16" spans="1:14" ht="16.5" x14ac:dyDescent="0.5">
      <c r="A16" s="16" t="s">
        <v>19</v>
      </c>
      <c r="B16" s="16"/>
      <c r="C16" s="16"/>
      <c r="D16" s="17" t="s">
        <v>10</v>
      </c>
      <c r="E16" s="17" t="s">
        <v>10</v>
      </c>
      <c r="F16" s="17" t="s">
        <v>10</v>
      </c>
      <c r="G16" s="17" t="s">
        <v>10</v>
      </c>
      <c r="H16" s="17" t="s">
        <v>10</v>
      </c>
      <c r="I16" s="14"/>
      <c r="J16" s="14"/>
      <c r="K16" s="14"/>
      <c r="L16" s="14"/>
      <c r="M16" s="14"/>
    </row>
    <row r="17" spans="1:13" ht="58" x14ac:dyDescent="0.35">
      <c r="A17" s="76" t="s">
        <v>20</v>
      </c>
      <c r="B17" s="68" t="s">
        <v>21</v>
      </c>
      <c r="C17" s="36" t="s">
        <v>22</v>
      </c>
      <c r="D17" s="38"/>
      <c r="E17" s="39" t="s">
        <v>13</v>
      </c>
      <c r="F17" s="39" t="s">
        <v>13</v>
      </c>
      <c r="G17" s="39" t="s">
        <v>13</v>
      </c>
      <c r="H17" s="83" t="s">
        <v>23</v>
      </c>
      <c r="I17" s="84"/>
      <c r="J17" s="84"/>
      <c r="K17" s="85"/>
      <c r="L17" s="55">
        <v>100</v>
      </c>
      <c r="M17" s="53" t="s">
        <v>144</v>
      </c>
    </row>
    <row r="18" spans="1:13" ht="112.5" customHeight="1" x14ac:dyDescent="0.35">
      <c r="A18" s="35" t="s">
        <v>24</v>
      </c>
      <c r="B18" s="151" t="s">
        <v>25</v>
      </c>
      <c r="C18" s="36" t="s">
        <v>26</v>
      </c>
      <c r="D18" s="40" t="s">
        <v>10</v>
      </c>
      <c r="E18" s="40" t="s">
        <v>13</v>
      </c>
      <c r="F18" s="40" t="s">
        <v>13</v>
      </c>
      <c r="G18" s="35"/>
      <c r="H18" s="46" t="s">
        <v>137</v>
      </c>
      <c r="I18" s="84"/>
      <c r="J18" s="86"/>
      <c r="K18" s="84"/>
      <c r="L18" s="55">
        <v>70</v>
      </c>
      <c r="M18" s="67" t="s">
        <v>149</v>
      </c>
    </row>
    <row r="19" spans="1:13" ht="31" customHeight="1" x14ac:dyDescent="0.35">
      <c r="A19" s="35" t="s">
        <v>28</v>
      </c>
      <c r="B19" s="68" t="s">
        <v>29</v>
      </c>
      <c r="C19" s="36" t="s">
        <v>30</v>
      </c>
      <c r="D19" s="40"/>
      <c r="E19" s="40" t="s">
        <v>13</v>
      </c>
      <c r="F19" s="41"/>
      <c r="G19" s="34"/>
      <c r="H19" s="46" t="s">
        <v>23</v>
      </c>
      <c r="I19" s="84"/>
      <c r="J19" s="84"/>
      <c r="K19" s="85"/>
      <c r="L19" s="55">
        <v>100</v>
      </c>
      <c r="M19" s="51" t="s">
        <v>145</v>
      </c>
    </row>
    <row r="20" spans="1:13" ht="51.5" customHeight="1" thickBot="1" x14ac:dyDescent="0.4">
      <c r="A20" s="35" t="s">
        <v>31</v>
      </c>
      <c r="B20" s="68" t="s">
        <v>32</v>
      </c>
      <c r="C20" s="36" t="s">
        <v>26</v>
      </c>
      <c r="D20" s="40" t="s">
        <v>13</v>
      </c>
      <c r="E20" s="40" t="s">
        <v>13</v>
      </c>
      <c r="F20" s="40" t="s">
        <v>13</v>
      </c>
      <c r="G20" s="40" t="s">
        <v>13</v>
      </c>
      <c r="H20" s="87" t="s">
        <v>33</v>
      </c>
      <c r="I20" s="79"/>
      <c r="J20" s="79"/>
      <c r="K20" s="88"/>
      <c r="L20" s="56">
        <v>100</v>
      </c>
      <c r="M20" s="51" t="s">
        <v>141</v>
      </c>
    </row>
    <row r="21" spans="1:13" ht="17" thickBot="1" x14ac:dyDescent="0.55000000000000004">
      <c r="A21" s="113" t="s">
        <v>10</v>
      </c>
      <c r="B21" s="114"/>
      <c r="C21" s="114"/>
      <c r="D21" s="114"/>
      <c r="E21" s="114"/>
      <c r="F21" s="114"/>
      <c r="G21" s="114"/>
      <c r="H21" s="114"/>
      <c r="I21" s="19"/>
      <c r="J21" s="20"/>
      <c r="K21" s="20"/>
      <c r="L21" s="58">
        <f>SUM(L17:L20)/4</f>
        <v>92.5</v>
      </c>
      <c r="M21" s="21"/>
    </row>
    <row r="22" spans="1:13" ht="17" thickBot="1" x14ac:dyDescent="0.55000000000000004">
      <c r="A22" s="3" t="s">
        <v>34</v>
      </c>
      <c r="B22" s="3"/>
      <c r="C22" s="3"/>
      <c r="D22" s="4" t="s">
        <v>10</v>
      </c>
      <c r="E22" s="4" t="s">
        <v>10</v>
      </c>
      <c r="F22" s="4" t="s">
        <v>10</v>
      </c>
      <c r="G22" s="4" t="s">
        <v>10</v>
      </c>
      <c r="H22" s="4" t="s">
        <v>10</v>
      </c>
      <c r="I22" s="25"/>
      <c r="J22" s="26"/>
      <c r="K22" s="26"/>
      <c r="L22" s="26"/>
      <c r="M22" s="27"/>
    </row>
    <row r="23" spans="1:13" ht="94.5" customHeight="1" x14ac:dyDescent="0.35">
      <c r="A23" s="35" t="s">
        <v>35</v>
      </c>
      <c r="B23" s="68" t="s">
        <v>36</v>
      </c>
      <c r="C23" s="36" t="s">
        <v>37</v>
      </c>
      <c r="D23" s="40" t="s">
        <v>13</v>
      </c>
      <c r="E23" s="40" t="s">
        <v>13</v>
      </c>
      <c r="F23" s="41"/>
      <c r="G23" s="42" t="s">
        <v>10</v>
      </c>
      <c r="H23" s="36" t="s">
        <v>38</v>
      </c>
      <c r="I23" s="81"/>
      <c r="J23" s="81"/>
      <c r="K23" s="89"/>
      <c r="L23" s="54">
        <v>100</v>
      </c>
      <c r="M23" s="63" t="s">
        <v>142</v>
      </c>
    </row>
    <row r="24" spans="1:13" ht="60.5" customHeight="1" x14ac:dyDescent="0.35">
      <c r="A24" s="35" t="s">
        <v>39</v>
      </c>
      <c r="B24" s="68" t="s">
        <v>139</v>
      </c>
      <c r="C24" s="36" t="s">
        <v>37</v>
      </c>
      <c r="D24" s="40" t="s">
        <v>13</v>
      </c>
      <c r="E24" s="40" t="s">
        <v>13</v>
      </c>
      <c r="F24" s="41" t="s">
        <v>13</v>
      </c>
      <c r="G24" s="42" t="s">
        <v>10</v>
      </c>
      <c r="H24" s="36" t="s">
        <v>40</v>
      </c>
      <c r="I24" s="81"/>
      <c r="J24" s="84"/>
      <c r="K24" s="85"/>
      <c r="L24" s="55">
        <v>100</v>
      </c>
      <c r="M24" s="60" t="s">
        <v>161</v>
      </c>
    </row>
    <row r="25" spans="1:13" ht="192.5" customHeight="1" thickBot="1" x14ac:dyDescent="0.4">
      <c r="A25" s="35" t="s">
        <v>41</v>
      </c>
      <c r="B25" s="68" t="s">
        <v>42</v>
      </c>
      <c r="C25" s="36" t="s">
        <v>37</v>
      </c>
      <c r="D25" s="40" t="s">
        <v>13</v>
      </c>
      <c r="E25" s="40" t="s">
        <v>13</v>
      </c>
      <c r="F25" s="41" t="s">
        <v>13</v>
      </c>
      <c r="G25" s="42" t="s">
        <v>10</v>
      </c>
      <c r="H25" s="36" t="s">
        <v>138</v>
      </c>
      <c r="I25" s="81"/>
      <c r="J25" s="79"/>
      <c r="K25" s="88"/>
      <c r="L25" s="56">
        <v>100</v>
      </c>
      <c r="M25" s="70" t="s">
        <v>150</v>
      </c>
    </row>
    <row r="26" spans="1:13" ht="17" thickBot="1" x14ac:dyDescent="0.55000000000000004">
      <c r="A26" s="113" t="s">
        <v>10</v>
      </c>
      <c r="B26" s="114"/>
      <c r="C26" s="114"/>
      <c r="D26" s="114"/>
      <c r="E26" s="114"/>
      <c r="F26" s="114"/>
      <c r="G26" s="114"/>
      <c r="H26" s="114"/>
      <c r="I26" s="19"/>
      <c r="J26" s="20"/>
      <c r="K26" s="20"/>
      <c r="L26" s="64" cm="1">
        <f t="array" ref="L26">SUM(L23:L25/3)</f>
        <v>100</v>
      </c>
      <c r="M26" s="21"/>
    </row>
    <row r="27" spans="1:13" ht="17" thickBot="1" x14ac:dyDescent="0.55000000000000004">
      <c r="A27" s="3" t="s">
        <v>43</v>
      </c>
      <c r="B27" s="3"/>
      <c r="C27" s="3"/>
      <c r="D27" s="3"/>
      <c r="E27" s="4" t="s">
        <v>10</v>
      </c>
      <c r="F27" s="4" t="s">
        <v>10</v>
      </c>
      <c r="G27" s="4" t="s">
        <v>10</v>
      </c>
      <c r="H27" s="4" t="s">
        <v>10</v>
      </c>
      <c r="I27" s="22"/>
      <c r="J27" s="23"/>
      <c r="K27" s="23"/>
      <c r="L27" s="23"/>
      <c r="M27" s="24"/>
    </row>
    <row r="28" spans="1:13" ht="69" customHeight="1" x14ac:dyDescent="0.35">
      <c r="A28" s="35" t="s">
        <v>44</v>
      </c>
      <c r="B28" s="68" t="s">
        <v>45</v>
      </c>
      <c r="C28" s="36" t="s">
        <v>46</v>
      </c>
      <c r="D28" s="40" t="s">
        <v>10</v>
      </c>
      <c r="E28" s="41"/>
      <c r="F28" s="40" t="s">
        <v>13</v>
      </c>
      <c r="G28" s="90" t="s">
        <v>10</v>
      </c>
      <c r="H28" s="36" t="s">
        <v>47</v>
      </c>
      <c r="I28" s="81"/>
      <c r="J28" s="80"/>
      <c r="K28" s="81"/>
      <c r="L28" s="54">
        <v>55</v>
      </c>
      <c r="M28" s="52" t="s">
        <v>151</v>
      </c>
    </row>
    <row r="29" spans="1:13" ht="56" customHeight="1" x14ac:dyDescent="0.35">
      <c r="A29" s="35" t="s">
        <v>48</v>
      </c>
      <c r="B29" s="68" t="s">
        <v>49</v>
      </c>
      <c r="C29" s="36" t="s">
        <v>50</v>
      </c>
      <c r="D29" s="40" t="s">
        <v>10</v>
      </c>
      <c r="E29" s="40" t="s">
        <v>13</v>
      </c>
      <c r="F29" s="41"/>
      <c r="G29" s="90" t="s">
        <v>10</v>
      </c>
      <c r="H29" s="36" t="s">
        <v>51</v>
      </c>
      <c r="I29" s="84"/>
      <c r="J29" s="86"/>
      <c r="K29" s="84"/>
      <c r="L29" s="55">
        <v>75</v>
      </c>
      <c r="M29" s="67" t="s">
        <v>152</v>
      </c>
    </row>
    <row r="30" spans="1:13" ht="105.75" customHeight="1" thickBot="1" x14ac:dyDescent="0.4">
      <c r="A30" s="35" t="s">
        <v>52</v>
      </c>
      <c r="B30" s="68" t="s">
        <v>53</v>
      </c>
      <c r="C30" s="36" t="s">
        <v>54</v>
      </c>
      <c r="D30" s="40" t="s">
        <v>10</v>
      </c>
      <c r="E30" s="40" t="s">
        <v>10</v>
      </c>
      <c r="F30" s="41" t="s">
        <v>13</v>
      </c>
      <c r="G30" s="90" t="s">
        <v>10</v>
      </c>
      <c r="H30" s="43" t="s">
        <v>18</v>
      </c>
      <c r="I30" s="79"/>
      <c r="J30" s="78"/>
      <c r="K30" s="79"/>
      <c r="L30" s="56">
        <v>60</v>
      </c>
      <c r="M30" s="53" t="s">
        <v>153</v>
      </c>
    </row>
    <row r="31" spans="1:13" ht="17" thickBot="1" x14ac:dyDescent="0.55000000000000004">
      <c r="A31" s="142" t="s">
        <v>10</v>
      </c>
      <c r="B31" s="143"/>
      <c r="C31" s="143"/>
      <c r="D31" s="143"/>
      <c r="E31" s="143"/>
      <c r="F31" s="143"/>
      <c r="G31" s="143"/>
      <c r="H31" s="144"/>
      <c r="I31" s="19"/>
      <c r="J31" s="20"/>
      <c r="K31" s="20"/>
      <c r="L31" s="97">
        <f>SUM(L28:L30)/3</f>
        <v>63.333333333333336</v>
      </c>
      <c r="M31" s="21"/>
    </row>
    <row r="32" spans="1:13" ht="17" thickBot="1" x14ac:dyDescent="0.55000000000000004">
      <c r="A32" s="16" t="s">
        <v>55</v>
      </c>
      <c r="B32" s="16"/>
      <c r="C32" s="16"/>
      <c r="D32" s="16"/>
      <c r="E32" s="16"/>
      <c r="F32" s="16"/>
      <c r="G32" s="17" t="s">
        <v>10</v>
      </c>
      <c r="H32" s="17" t="s">
        <v>10</v>
      </c>
      <c r="I32" s="45"/>
      <c r="J32" s="23"/>
      <c r="K32" s="23"/>
      <c r="L32" s="23"/>
      <c r="M32" s="24"/>
    </row>
    <row r="33" spans="1:13" ht="60" customHeight="1" x14ac:dyDescent="0.35">
      <c r="A33" s="35" t="s">
        <v>56</v>
      </c>
      <c r="B33" s="68" t="s">
        <v>57</v>
      </c>
      <c r="C33" s="36" t="s">
        <v>58</v>
      </c>
      <c r="D33" s="42" t="s">
        <v>10</v>
      </c>
      <c r="E33" s="40" t="s">
        <v>13</v>
      </c>
      <c r="F33" s="41"/>
      <c r="G33" s="90" t="s">
        <v>10</v>
      </c>
      <c r="H33" s="36" t="s">
        <v>27</v>
      </c>
      <c r="I33" s="91"/>
      <c r="J33" s="80"/>
      <c r="K33" s="81"/>
      <c r="L33" s="54">
        <v>55</v>
      </c>
      <c r="M33" s="52" t="s">
        <v>162</v>
      </c>
    </row>
    <row r="34" spans="1:13" ht="62.25" customHeight="1" x14ac:dyDescent="0.35">
      <c r="A34" s="35" t="s">
        <v>59</v>
      </c>
      <c r="B34" s="68" t="s">
        <v>60</v>
      </c>
      <c r="C34" s="36" t="s">
        <v>61</v>
      </c>
      <c r="D34" s="42" t="s">
        <v>10</v>
      </c>
      <c r="E34" s="40" t="s">
        <v>10</v>
      </c>
      <c r="F34" s="41" t="s">
        <v>13</v>
      </c>
      <c r="G34" s="90" t="s">
        <v>10</v>
      </c>
      <c r="H34" s="36" t="s">
        <v>62</v>
      </c>
      <c r="I34" s="84"/>
      <c r="J34" s="86"/>
      <c r="K34" s="84"/>
      <c r="L34" s="55">
        <v>75</v>
      </c>
      <c r="M34" s="51" t="s">
        <v>163</v>
      </c>
    </row>
    <row r="35" spans="1:13" ht="55" customHeight="1" thickBot="1" x14ac:dyDescent="0.4">
      <c r="A35" s="35" t="s">
        <v>63</v>
      </c>
      <c r="B35" s="68" t="s">
        <v>64</v>
      </c>
      <c r="C35" s="36" t="s">
        <v>61</v>
      </c>
      <c r="D35" s="43" t="s">
        <v>10</v>
      </c>
      <c r="E35" s="40" t="s">
        <v>10</v>
      </c>
      <c r="F35" s="41" t="s">
        <v>13</v>
      </c>
      <c r="G35" s="36" t="s">
        <v>10</v>
      </c>
      <c r="H35" s="36" t="s">
        <v>65</v>
      </c>
      <c r="I35" s="84"/>
      <c r="J35" s="86"/>
      <c r="K35" s="84"/>
      <c r="L35" s="55">
        <v>60</v>
      </c>
      <c r="M35" s="51" t="s">
        <v>154</v>
      </c>
    </row>
    <row r="36" spans="1:13" ht="17" thickBot="1" x14ac:dyDescent="0.55000000000000004">
      <c r="A36" s="113" t="s">
        <v>10</v>
      </c>
      <c r="B36" s="114"/>
      <c r="C36" s="114"/>
      <c r="D36" s="114"/>
      <c r="E36" s="114"/>
      <c r="F36" s="114"/>
      <c r="G36" s="114"/>
      <c r="H36" s="114"/>
      <c r="I36" s="19"/>
      <c r="J36" s="20"/>
      <c r="K36" s="20"/>
      <c r="L36" s="98">
        <f>SUM(L33:L35)/3</f>
        <v>63.333333333333336</v>
      </c>
      <c r="M36" s="28"/>
    </row>
    <row r="37" spans="1:13" ht="17" thickBot="1" x14ac:dyDescent="0.55000000000000004">
      <c r="A37" s="3" t="s">
        <v>66</v>
      </c>
      <c r="B37" s="3"/>
      <c r="C37" s="3"/>
      <c r="D37" s="3"/>
      <c r="E37" s="3"/>
      <c r="F37" s="3"/>
      <c r="G37" s="4" t="s">
        <v>10</v>
      </c>
      <c r="H37" s="4" t="s">
        <v>10</v>
      </c>
      <c r="I37" s="25"/>
      <c r="J37" s="26"/>
      <c r="K37" s="26"/>
      <c r="L37" s="26"/>
      <c r="M37" s="27"/>
    </row>
    <row r="38" spans="1:13" ht="66" customHeight="1" x14ac:dyDescent="0.35">
      <c r="A38" s="76" t="s">
        <v>67</v>
      </c>
      <c r="B38" s="68" t="s">
        <v>68</v>
      </c>
      <c r="C38" s="36" t="s">
        <v>69</v>
      </c>
      <c r="D38" s="39" t="s">
        <v>10</v>
      </c>
      <c r="E38" s="39" t="s">
        <v>13</v>
      </c>
      <c r="F38" s="39" t="s">
        <v>10</v>
      </c>
      <c r="G38" s="38"/>
      <c r="H38" s="87" t="s">
        <v>70</v>
      </c>
      <c r="I38" s="92"/>
      <c r="J38" s="80"/>
      <c r="K38" s="81"/>
      <c r="L38" s="54">
        <v>55</v>
      </c>
      <c r="M38" s="52" t="s">
        <v>155</v>
      </c>
    </row>
    <row r="39" spans="1:13" ht="200.5" customHeight="1" x14ac:dyDescent="0.35">
      <c r="A39" s="76" t="s">
        <v>125</v>
      </c>
      <c r="B39" s="68" t="s">
        <v>71</v>
      </c>
      <c r="C39" s="77" t="s">
        <v>69</v>
      </c>
      <c r="D39" s="39" t="s">
        <v>13</v>
      </c>
      <c r="E39" s="39" t="s">
        <v>13</v>
      </c>
      <c r="F39" s="39" t="s">
        <v>13</v>
      </c>
      <c r="G39" s="38" t="s">
        <v>13</v>
      </c>
      <c r="H39" s="46" t="s">
        <v>23</v>
      </c>
      <c r="I39" s="84"/>
      <c r="J39" s="84"/>
      <c r="K39" s="85"/>
      <c r="L39" s="55">
        <v>100</v>
      </c>
      <c r="M39" s="71" t="s">
        <v>146</v>
      </c>
    </row>
    <row r="40" spans="1:13" ht="91.5" customHeight="1" x14ac:dyDescent="0.35">
      <c r="A40" s="76" t="s">
        <v>126</v>
      </c>
      <c r="B40" s="68" t="s">
        <v>72</v>
      </c>
      <c r="C40" s="77" t="s">
        <v>73</v>
      </c>
      <c r="D40" s="39" t="s">
        <v>10</v>
      </c>
      <c r="E40" s="39" t="s">
        <v>10</v>
      </c>
      <c r="F40" s="39" t="s">
        <v>13</v>
      </c>
      <c r="G40" s="38"/>
      <c r="H40" s="87" t="s">
        <v>74</v>
      </c>
      <c r="I40" s="84"/>
      <c r="J40" s="86"/>
      <c r="K40" s="84"/>
      <c r="L40" s="55">
        <v>60</v>
      </c>
      <c r="M40" s="51" t="s">
        <v>156</v>
      </c>
    </row>
    <row r="41" spans="1:13" ht="95.5" customHeight="1" x14ac:dyDescent="0.35">
      <c r="A41" s="76" t="s">
        <v>127</v>
      </c>
      <c r="B41" s="68" t="s">
        <v>75</v>
      </c>
      <c r="C41" s="77" t="s">
        <v>76</v>
      </c>
      <c r="D41" s="39" t="s">
        <v>13</v>
      </c>
      <c r="E41" s="39" t="s">
        <v>13</v>
      </c>
      <c r="F41" s="39" t="s">
        <v>13</v>
      </c>
      <c r="G41" s="38" t="s">
        <v>13</v>
      </c>
      <c r="H41" s="87" t="s">
        <v>132</v>
      </c>
      <c r="I41" s="84"/>
      <c r="J41" s="84"/>
      <c r="K41" s="85"/>
      <c r="L41" s="57">
        <v>100</v>
      </c>
      <c r="M41" s="51" t="s">
        <v>134</v>
      </c>
    </row>
    <row r="42" spans="1:13" ht="87.5" thickBot="1" x14ac:dyDescent="0.4">
      <c r="A42" s="76" t="s">
        <v>128</v>
      </c>
      <c r="B42" s="68" t="s">
        <v>77</v>
      </c>
      <c r="C42" s="77" t="s">
        <v>76</v>
      </c>
      <c r="D42" s="39" t="s">
        <v>13</v>
      </c>
      <c r="E42" s="39"/>
      <c r="F42" s="39"/>
      <c r="G42" s="38"/>
      <c r="H42" s="87" t="s">
        <v>78</v>
      </c>
      <c r="I42" s="79"/>
      <c r="J42" s="79"/>
      <c r="K42" s="85"/>
      <c r="L42" s="57">
        <v>100</v>
      </c>
      <c r="M42" s="51" t="s">
        <v>135</v>
      </c>
    </row>
    <row r="43" spans="1:13" ht="17" thickBot="1" x14ac:dyDescent="0.55000000000000004">
      <c r="A43" s="140" t="s">
        <v>10</v>
      </c>
      <c r="B43" s="141"/>
      <c r="C43" s="141"/>
      <c r="D43" s="141"/>
      <c r="E43" s="141"/>
      <c r="F43" s="141"/>
      <c r="G43" s="141"/>
      <c r="H43" s="141"/>
      <c r="I43" s="19"/>
      <c r="J43" s="20"/>
      <c r="K43" s="20"/>
      <c r="L43" s="97" cm="1">
        <f t="array" ref="L43">SUM(L39:L42/5)</f>
        <v>72</v>
      </c>
      <c r="M43" s="21"/>
    </row>
    <row r="44" spans="1:13" ht="17" thickBot="1" x14ac:dyDescent="0.55000000000000004">
      <c r="A44" s="3" t="s">
        <v>79</v>
      </c>
      <c r="B44" s="3"/>
      <c r="C44" s="3"/>
      <c r="D44" s="3"/>
      <c r="E44" s="3"/>
      <c r="F44" s="3"/>
      <c r="G44" s="4" t="s">
        <v>10</v>
      </c>
      <c r="H44" s="4" t="s">
        <v>10</v>
      </c>
      <c r="I44" s="25"/>
      <c r="J44" s="26"/>
      <c r="K44" s="26"/>
      <c r="L44" s="26"/>
      <c r="M44" s="27"/>
    </row>
    <row r="45" spans="1:13" ht="66.75" customHeight="1" x14ac:dyDescent="0.35">
      <c r="A45" s="35" t="s">
        <v>80</v>
      </c>
      <c r="B45" s="68" t="s">
        <v>81</v>
      </c>
      <c r="C45" s="36" t="s">
        <v>73</v>
      </c>
      <c r="D45" s="42" t="s">
        <v>10</v>
      </c>
      <c r="E45" s="40" t="s">
        <v>13</v>
      </c>
      <c r="F45" s="42" t="s">
        <v>10</v>
      </c>
      <c r="G45" s="43"/>
      <c r="H45" s="93" t="s">
        <v>82</v>
      </c>
      <c r="I45" s="81"/>
      <c r="J45" s="81"/>
      <c r="K45" s="89"/>
      <c r="L45" s="54">
        <v>100</v>
      </c>
      <c r="M45" s="94" t="s">
        <v>140</v>
      </c>
    </row>
    <row r="46" spans="1:13" ht="54.65" customHeight="1" x14ac:dyDescent="0.35">
      <c r="A46" s="35" t="s">
        <v>83</v>
      </c>
      <c r="B46" s="68" t="s">
        <v>84</v>
      </c>
      <c r="C46" s="36" t="s">
        <v>73</v>
      </c>
      <c r="D46" s="42" t="s">
        <v>10</v>
      </c>
      <c r="E46" s="40" t="s">
        <v>13</v>
      </c>
      <c r="F46" s="42" t="s">
        <v>10</v>
      </c>
      <c r="G46" s="43"/>
      <c r="H46" s="93" t="s">
        <v>85</v>
      </c>
      <c r="I46" s="84"/>
      <c r="J46" s="84"/>
      <c r="K46" s="85"/>
      <c r="L46" s="55">
        <v>100</v>
      </c>
      <c r="M46" s="94" t="s">
        <v>140</v>
      </c>
    </row>
    <row r="47" spans="1:13" ht="35.5" customHeight="1" thickBot="1" x14ac:dyDescent="0.55000000000000004">
      <c r="A47" s="29" t="s">
        <v>86</v>
      </c>
      <c r="B47" s="30" t="s">
        <v>87</v>
      </c>
      <c r="C47" s="31" t="s">
        <v>73</v>
      </c>
      <c r="D47" s="42" t="s">
        <v>10</v>
      </c>
      <c r="E47" s="40" t="s">
        <v>13</v>
      </c>
      <c r="F47" s="42" t="s">
        <v>10</v>
      </c>
      <c r="G47" s="32"/>
      <c r="H47" s="47" t="s">
        <v>88</v>
      </c>
      <c r="I47" s="18"/>
      <c r="J47" s="18"/>
      <c r="K47" s="62"/>
      <c r="L47" s="61">
        <v>100</v>
      </c>
      <c r="M47" s="53" t="s">
        <v>140</v>
      </c>
    </row>
    <row r="48" spans="1:13" ht="17" thickBot="1" x14ac:dyDescent="0.55000000000000004">
      <c r="A48" s="113" t="s">
        <v>10</v>
      </c>
      <c r="B48" s="114"/>
      <c r="C48" s="114"/>
      <c r="D48" s="114"/>
      <c r="E48" s="114"/>
      <c r="F48" s="114"/>
      <c r="G48" s="114"/>
      <c r="H48" s="114"/>
      <c r="I48" s="19"/>
      <c r="J48" s="20"/>
      <c r="K48" s="20"/>
      <c r="L48" s="65" cm="1">
        <f t="array" ref="L48">SUM(L45:L47/3)</f>
        <v>100</v>
      </c>
      <c r="M48" s="28"/>
    </row>
    <row r="49" spans="1:13" ht="17" thickBot="1" x14ac:dyDescent="0.55000000000000004">
      <c r="A49" s="3" t="s">
        <v>89</v>
      </c>
      <c r="B49" s="3"/>
      <c r="C49" s="3"/>
      <c r="D49" s="3"/>
      <c r="E49" s="3"/>
      <c r="F49" s="4" t="s">
        <v>10</v>
      </c>
      <c r="G49" s="4" t="s">
        <v>10</v>
      </c>
      <c r="H49" s="4" t="s">
        <v>10</v>
      </c>
      <c r="I49" s="25"/>
      <c r="J49" s="26"/>
      <c r="K49" s="26"/>
      <c r="L49" s="26"/>
      <c r="M49" s="27"/>
    </row>
    <row r="50" spans="1:13" ht="94.5" customHeight="1" x14ac:dyDescent="0.35">
      <c r="A50" s="35" t="s">
        <v>90</v>
      </c>
      <c r="B50" s="68" t="s">
        <v>91</v>
      </c>
      <c r="C50" s="36" t="s">
        <v>92</v>
      </c>
      <c r="D50" s="40" t="s">
        <v>13</v>
      </c>
      <c r="E50" s="40" t="s">
        <v>13</v>
      </c>
      <c r="F50" s="41" t="s">
        <v>13</v>
      </c>
      <c r="G50" s="40" t="s">
        <v>13</v>
      </c>
      <c r="H50" s="36" t="s">
        <v>93</v>
      </c>
      <c r="I50" s="81"/>
      <c r="J50" s="81"/>
      <c r="K50" s="89"/>
      <c r="L50" s="54">
        <v>100</v>
      </c>
      <c r="M50" s="95" t="s">
        <v>164</v>
      </c>
    </row>
    <row r="51" spans="1:13" ht="50.5" customHeight="1" x14ac:dyDescent="0.35">
      <c r="A51" s="35" t="s">
        <v>94</v>
      </c>
      <c r="B51" s="68" t="s">
        <v>95</v>
      </c>
      <c r="C51" s="36" t="s">
        <v>92</v>
      </c>
      <c r="D51" s="40"/>
      <c r="E51" s="40"/>
      <c r="F51" s="41" t="s">
        <v>13</v>
      </c>
      <c r="G51" s="40" t="s">
        <v>13</v>
      </c>
      <c r="H51" s="36" t="s">
        <v>93</v>
      </c>
      <c r="I51" s="84"/>
      <c r="J51" s="84"/>
      <c r="K51" s="85"/>
      <c r="L51" s="55">
        <v>100</v>
      </c>
      <c r="M51" s="50" t="s">
        <v>165</v>
      </c>
    </row>
    <row r="52" spans="1:13" ht="48" customHeight="1" thickBot="1" x14ac:dyDescent="0.4">
      <c r="A52" s="35" t="s">
        <v>96</v>
      </c>
      <c r="B52" s="68" t="s">
        <v>97</v>
      </c>
      <c r="C52" s="36" t="s">
        <v>54</v>
      </c>
      <c r="D52" s="40"/>
      <c r="E52" s="40"/>
      <c r="F52" s="41" t="s">
        <v>13</v>
      </c>
      <c r="G52" s="40" t="s">
        <v>13</v>
      </c>
      <c r="H52" s="36" t="s">
        <v>93</v>
      </c>
      <c r="I52" s="79"/>
      <c r="J52" s="79"/>
      <c r="K52" s="88"/>
      <c r="L52" s="56">
        <v>100</v>
      </c>
      <c r="M52" s="94" t="s">
        <v>167</v>
      </c>
    </row>
    <row r="53" spans="1:13" ht="17" thickBot="1" x14ac:dyDescent="0.55000000000000004">
      <c r="A53" s="113" t="s">
        <v>10</v>
      </c>
      <c r="B53" s="114"/>
      <c r="C53" s="114"/>
      <c r="D53" s="114"/>
      <c r="E53" s="114"/>
      <c r="F53" s="114"/>
      <c r="G53" s="114"/>
      <c r="H53" s="114"/>
      <c r="I53" s="19"/>
      <c r="J53" s="20"/>
      <c r="K53" s="20"/>
      <c r="L53" s="58" cm="1">
        <f t="array" ref="L53">SUM(L50:L52/3)</f>
        <v>100</v>
      </c>
      <c r="M53" s="21"/>
    </row>
    <row r="54" spans="1:13" ht="17" thickBot="1" x14ac:dyDescent="0.55000000000000004">
      <c r="A54" s="137" t="s">
        <v>98</v>
      </c>
      <c r="B54" s="137"/>
      <c r="C54" s="137"/>
      <c r="D54" s="4" t="s">
        <v>10</v>
      </c>
      <c r="E54" s="4" t="s">
        <v>10</v>
      </c>
      <c r="F54" s="4" t="s">
        <v>10</v>
      </c>
      <c r="G54" s="4" t="s">
        <v>10</v>
      </c>
      <c r="H54" s="4" t="s">
        <v>10</v>
      </c>
      <c r="I54" s="22"/>
      <c r="J54" s="23"/>
      <c r="K54" s="23"/>
      <c r="L54" s="23"/>
      <c r="M54" s="24"/>
    </row>
    <row r="55" spans="1:13" ht="46.5" customHeight="1" x14ac:dyDescent="0.35">
      <c r="A55" s="35" t="s">
        <v>99</v>
      </c>
      <c r="B55" s="68" t="s">
        <v>100</v>
      </c>
      <c r="C55" s="36" t="s">
        <v>50</v>
      </c>
      <c r="D55" s="42" t="s">
        <v>10</v>
      </c>
      <c r="E55" s="42" t="s">
        <v>10</v>
      </c>
      <c r="F55" s="42" t="s">
        <v>10</v>
      </c>
      <c r="G55" s="42" t="s">
        <v>13</v>
      </c>
      <c r="H55" s="36" t="s">
        <v>101</v>
      </c>
      <c r="I55" s="81"/>
      <c r="J55" s="80"/>
      <c r="K55" s="81"/>
      <c r="L55" s="54">
        <v>55</v>
      </c>
      <c r="M55" s="95" t="s">
        <v>147</v>
      </c>
    </row>
    <row r="56" spans="1:13" ht="63" customHeight="1" x14ac:dyDescent="0.35">
      <c r="A56" s="35" t="s">
        <v>102</v>
      </c>
      <c r="B56" s="36" t="s">
        <v>103</v>
      </c>
      <c r="C56" s="36" t="s">
        <v>104</v>
      </c>
      <c r="D56" s="42" t="s">
        <v>10</v>
      </c>
      <c r="E56" s="42" t="s">
        <v>10</v>
      </c>
      <c r="F56" s="42" t="s">
        <v>10</v>
      </c>
      <c r="G56" s="42" t="s">
        <v>13</v>
      </c>
      <c r="H56" s="36" t="s">
        <v>105</v>
      </c>
      <c r="I56" s="96"/>
      <c r="J56" s="86"/>
      <c r="K56" s="84"/>
      <c r="L56" s="55">
        <v>90</v>
      </c>
      <c r="M56" s="50" t="s">
        <v>158</v>
      </c>
    </row>
    <row r="57" spans="1:13" ht="74.25" customHeight="1" x14ac:dyDescent="0.35">
      <c r="A57" s="35" t="s">
        <v>106</v>
      </c>
      <c r="B57" s="36" t="s">
        <v>107</v>
      </c>
      <c r="C57" s="36" t="s">
        <v>108</v>
      </c>
      <c r="D57" s="42" t="s">
        <v>10</v>
      </c>
      <c r="E57" s="42" t="s">
        <v>13</v>
      </c>
      <c r="F57" s="42" t="s">
        <v>13</v>
      </c>
      <c r="G57" s="43"/>
      <c r="H57" s="36" t="s">
        <v>101</v>
      </c>
      <c r="I57" s="84"/>
      <c r="J57" s="84"/>
      <c r="K57" s="85"/>
      <c r="L57" s="55">
        <v>100</v>
      </c>
      <c r="M57" s="50" t="s">
        <v>166</v>
      </c>
    </row>
    <row r="58" spans="1:13" ht="111" customHeight="1" x14ac:dyDescent="0.35">
      <c r="A58" s="35" t="s">
        <v>109</v>
      </c>
      <c r="B58" s="36" t="s">
        <v>110</v>
      </c>
      <c r="C58" s="36" t="s">
        <v>111</v>
      </c>
      <c r="D58" s="42"/>
      <c r="E58" s="42" t="s">
        <v>13</v>
      </c>
      <c r="F58" s="42" t="s">
        <v>13</v>
      </c>
      <c r="G58" s="42"/>
      <c r="H58" s="43" t="s">
        <v>23</v>
      </c>
      <c r="I58" s="84"/>
      <c r="J58" s="86"/>
      <c r="K58" s="84"/>
      <c r="L58" s="55">
        <v>90</v>
      </c>
      <c r="M58" s="50" t="s">
        <v>159</v>
      </c>
    </row>
    <row r="59" spans="1:13" ht="87.75" customHeight="1" thickBot="1" x14ac:dyDescent="0.4">
      <c r="A59" s="35" t="s">
        <v>112</v>
      </c>
      <c r="B59" s="36" t="s">
        <v>113</v>
      </c>
      <c r="C59" s="36" t="s">
        <v>111</v>
      </c>
      <c r="D59" s="42"/>
      <c r="E59" s="42" t="s">
        <v>13</v>
      </c>
      <c r="F59" s="42" t="s">
        <v>13</v>
      </c>
      <c r="G59" s="43"/>
      <c r="H59" s="43" t="s">
        <v>23</v>
      </c>
      <c r="I59" s="79"/>
      <c r="J59" s="79"/>
      <c r="K59" s="88"/>
      <c r="L59" s="56">
        <v>100</v>
      </c>
      <c r="M59" s="94" t="s">
        <v>143</v>
      </c>
    </row>
    <row r="60" spans="1:13" ht="15" thickBot="1" x14ac:dyDescent="0.4">
      <c r="A60" s="138"/>
      <c r="B60" s="139"/>
      <c r="C60" s="139"/>
      <c r="D60" s="139"/>
      <c r="E60" s="139"/>
      <c r="F60" s="139"/>
      <c r="G60" s="139"/>
      <c r="H60" s="139"/>
      <c r="I60" s="19"/>
      <c r="J60" s="20"/>
      <c r="K60" s="49"/>
      <c r="L60" s="66" cm="1">
        <f t="array" ref="L60">SUM(L55:L59/5)</f>
        <v>87</v>
      </c>
      <c r="M60" s="21"/>
    </row>
    <row r="62" spans="1:13" ht="38.15" customHeight="1" x14ac:dyDescent="0.35">
      <c r="I62" s="128" t="s">
        <v>133</v>
      </c>
      <c r="J62" s="128"/>
      <c r="K62" s="128"/>
      <c r="L62" s="100">
        <f>(L15+L21+L26+L31+L36+L43+L48+L53+L60)/9</f>
        <v>82.388888888888886</v>
      </c>
      <c r="M62" s="48"/>
    </row>
    <row r="63" spans="1:13" ht="38.15" customHeight="1" x14ac:dyDescent="0.45">
      <c r="A63" s="129" t="s">
        <v>115</v>
      </c>
      <c r="B63" s="5" t="s">
        <v>116</v>
      </c>
      <c r="I63" s="128"/>
      <c r="J63" s="128"/>
      <c r="K63" s="128"/>
      <c r="L63" s="99"/>
      <c r="M63" s="8"/>
    </row>
    <row r="64" spans="1:13" ht="18.5" x14ac:dyDescent="0.45">
      <c r="A64" s="130"/>
      <c r="B64" s="6" t="s">
        <v>117</v>
      </c>
    </row>
    <row r="65" spans="1:2" ht="18.5" x14ac:dyDescent="0.45">
      <c r="A65" s="131"/>
      <c r="B65" s="7" t="s">
        <v>118</v>
      </c>
    </row>
  </sheetData>
  <mergeCells count="36">
    <mergeCell ref="I62:K62"/>
    <mergeCell ref="I63:K63"/>
    <mergeCell ref="A63:A65"/>
    <mergeCell ref="J8:L8"/>
    <mergeCell ref="N8:N9"/>
    <mergeCell ref="A53:H53"/>
    <mergeCell ref="A54:C54"/>
    <mergeCell ref="A60:H60"/>
    <mergeCell ref="A36:H36"/>
    <mergeCell ref="A43:H43"/>
    <mergeCell ref="A48:H48"/>
    <mergeCell ref="A31:H31"/>
    <mergeCell ref="G11:G12"/>
    <mergeCell ref="H11:H12"/>
    <mergeCell ref="A15:H15"/>
    <mergeCell ref="I11:I12"/>
    <mergeCell ref="J11:J12"/>
    <mergeCell ref="K11:K12"/>
    <mergeCell ref="L11:L12"/>
    <mergeCell ref="M11:M12"/>
    <mergeCell ref="A21:H21"/>
    <mergeCell ref="A26:H26"/>
    <mergeCell ref="A11:A12"/>
    <mergeCell ref="B11:B12"/>
    <mergeCell ref="C11:C12"/>
    <mergeCell ref="D11:D12"/>
    <mergeCell ref="E11:E12"/>
    <mergeCell ref="F11:F12"/>
    <mergeCell ref="A6:M6"/>
    <mergeCell ref="A7:H7"/>
    <mergeCell ref="A8:A9"/>
    <mergeCell ref="B8:B9"/>
    <mergeCell ref="D8:D9"/>
    <mergeCell ref="E8:H8"/>
    <mergeCell ref="I8:I9"/>
    <mergeCell ref="I7:M7"/>
  </mergeCells>
  <conditionalFormatting sqref="A15:H15">
    <cfRule type="cellIs" dxfId="0" priority="15" operator="equal">
      <formula>2</formula>
    </cfRule>
  </conditionalFormatting>
  <pageMargins left="0.70866141732283472" right="0.70866141732283472" top="0.74803149606299213" bottom="0.74803149606299213" header="0.31496062992125984" footer="0.31496062992125984"/>
  <pageSetup scale="60" orientation="landscape"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Narciso Leonel Ixcoy</dc:creator>
  <cp:lastModifiedBy>Narciso Leonel Ixcoy</cp:lastModifiedBy>
  <cp:lastPrinted>2024-01-31T18:19:38Z</cp:lastPrinted>
  <dcterms:created xsi:type="dcterms:W3CDTF">2023-10-04T18:04:41Z</dcterms:created>
  <dcterms:modified xsi:type="dcterms:W3CDTF">2024-04-29T18:36:22Z</dcterms:modified>
</cp:coreProperties>
</file>